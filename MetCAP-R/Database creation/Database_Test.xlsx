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P:\Scripts\Version git\"/>
    </mc:Choice>
  </mc:AlternateContent>
  <xr:revisionPtr revIDLastSave="0" documentId="13_ncr:1_{DFF1B06B-90E2-4BDF-BFDA-A0408DF76B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TOF" sheetId="1" r:id="rId1"/>
  </sheets>
  <definedNames>
    <definedName name="_xlnm._FilterDatabase" localSheetId="0" hidden="1">QTOF!$A$1:$AK$53</definedName>
    <definedName name="_xlnm.Print_Area" localSheetId="0">QTOF!$B$1:$I$53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4" i="1" l="1"/>
  <c r="G34" i="1"/>
  <c r="M34" i="1"/>
  <c r="F35" i="1"/>
  <c r="G35" i="1"/>
  <c r="M35" i="1"/>
  <c r="F36" i="1"/>
  <c r="G36" i="1"/>
  <c r="M36" i="1"/>
  <c r="F37" i="1"/>
  <c r="G37" i="1"/>
  <c r="M37" i="1"/>
  <c r="F38" i="1"/>
  <c r="G38" i="1"/>
  <c r="M38" i="1"/>
  <c r="F39" i="1"/>
  <c r="G39" i="1"/>
  <c r="M39" i="1"/>
  <c r="F40" i="1"/>
  <c r="G40" i="1"/>
  <c r="M40" i="1"/>
  <c r="F41" i="1"/>
  <c r="G41" i="1"/>
  <c r="M41" i="1"/>
  <c r="F42" i="1"/>
  <c r="G42" i="1"/>
  <c r="M42" i="1"/>
  <c r="F43" i="1"/>
  <c r="G43" i="1"/>
  <c r="M43" i="1"/>
  <c r="F44" i="1"/>
  <c r="G44" i="1"/>
  <c r="M44" i="1"/>
  <c r="F45" i="1"/>
  <c r="G45" i="1"/>
  <c r="M45" i="1"/>
  <c r="F46" i="1"/>
  <c r="G46" i="1"/>
  <c r="M46" i="1"/>
  <c r="F47" i="1"/>
  <c r="G47" i="1"/>
  <c r="M47" i="1"/>
  <c r="F48" i="1"/>
  <c r="G48" i="1"/>
  <c r="M48" i="1"/>
  <c r="F49" i="1"/>
  <c r="G49" i="1"/>
  <c r="M49" i="1"/>
  <c r="F50" i="1"/>
  <c r="G50" i="1"/>
  <c r="M50" i="1"/>
  <c r="F51" i="1"/>
  <c r="G51" i="1"/>
  <c r="M51" i="1"/>
  <c r="F52" i="1"/>
  <c r="G52" i="1"/>
  <c r="M52" i="1"/>
  <c r="F53" i="1"/>
  <c r="G53" i="1"/>
  <c r="M53" i="1"/>
  <c r="F2" i="1"/>
  <c r="G2" i="1"/>
  <c r="M2" i="1"/>
  <c r="F3" i="1"/>
  <c r="G3" i="1"/>
  <c r="M3" i="1"/>
  <c r="F4" i="1"/>
  <c r="G4" i="1"/>
  <c r="M4" i="1"/>
  <c r="F5" i="1"/>
  <c r="G5" i="1"/>
  <c r="M5" i="1"/>
  <c r="F6" i="1"/>
  <c r="G6" i="1"/>
  <c r="M6" i="1"/>
  <c r="F7" i="1"/>
  <c r="G7" i="1"/>
  <c r="M7" i="1"/>
  <c r="F8" i="1"/>
  <c r="G8" i="1"/>
  <c r="M8" i="1"/>
  <c r="F9" i="1"/>
  <c r="G9" i="1"/>
  <c r="M9" i="1"/>
  <c r="F10" i="1"/>
  <c r="G10" i="1"/>
  <c r="M10" i="1"/>
  <c r="F11" i="1"/>
  <c r="G11" i="1"/>
  <c r="M11" i="1"/>
  <c r="F12" i="1"/>
  <c r="G12" i="1"/>
  <c r="M12" i="1"/>
  <c r="F13" i="1"/>
  <c r="G13" i="1"/>
  <c r="M13" i="1"/>
  <c r="F14" i="1"/>
  <c r="G14" i="1"/>
  <c r="M14" i="1"/>
  <c r="F15" i="1"/>
  <c r="G15" i="1"/>
  <c r="M15" i="1"/>
  <c r="F16" i="1"/>
  <c r="G16" i="1"/>
  <c r="M16" i="1"/>
  <c r="F17" i="1"/>
  <c r="G17" i="1"/>
  <c r="M17" i="1"/>
  <c r="F18" i="1"/>
  <c r="G18" i="1"/>
  <c r="M18" i="1"/>
  <c r="F19" i="1"/>
  <c r="G19" i="1"/>
  <c r="M19" i="1"/>
  <c r="F20" i="1"/>
  <c r="G20" i="1"/>
  <c r="M20" i="1"/>
  <c r="F21" i="1"/>
  <c r="G21" i="1"/>
  <c r="M21" i="1"/>
  <c r="F22" i="1"/>
  <c r="G22" i="1"/>
  <c r="M22" i="1"/>
  <c r="F23" i="1"/>
  <c r="G23" i="1"/>
  <c r="M23" i="1"/>
  <c r="F24" i="1"/>
  <c r="G24" i="1"/>
  <c r="M24" i="1"/>
  <c r="F25" i="1"/>
  <c r="G25" i="1"/>
  <c r="M25" i="1"/>
  <c r="F26" i="1"/>
  <c r="G26" i="1"/>
  <c r="M26" i="1"/>
  <c r="F27" i="1"/>
  <c r="G27" i="1"/>
  <c r="M27" i="1"/>
  <c r="F28" i="1"/>
  <c r="G28" i="1"/>
  <c r="M28" i="1"/>
  <c r="F29" i="1"/>
  <c r="G29" i="1"/>
  <c r="M29" i="1"/>
  <c r="F30" i="1"/>
  <c r="G30" i="1"/>
  <c r="M30" i="1"/>
  <c r="F31" i="1"/>
  <c r="G31" i="1"/>
  <c r="M31" i="1"/>
  <c r="F32" i="1"/>
  <c r="G32" i="1"/>
  <c r="M32" i="1"/>
  <c r="F33" i="1"/>
  <c r="G33" i="1"/>
  <c r="M33" i="1"/>
</calcChain>
</file>

<file path=xl/sharedStrings.xml><?xml version="1.0" encoding="utf-8"?>
<sst xmlns="http://schemas.openxmlformats.org/spreadsheetml/2006/main" count="1440" uniqueCount="166">
  <si>
    <t>axiom_id</t>
  </si>
  <si>
    <t>spectro</t>
  </si>
  <si>
    <t>ionisation</t>
  </si>
  <si>
    <t>name</t>
  </si>
  <si>
    <t>name2</t>
  </si>
  <si>
    <t>isotope</t>
  </si>
  <si>
    <t>adduct</t>
  </si>
  <si>
    <t>formula_neutral</t>
  </si>
  <si>
    <t>monoistopic_molecular_weigth</t>
  </si>
  <si>
    <t>rt</t>
  </si>
  <si>
    <t>mz</t>
  </si>
  <si>
    <t>intensity</t>
  </si>
  <si>
    <t>Identification_level</t>
  </si>
  <si>
    <t>Inchi</t>
  </si>
  <si>
    <t>Inchikey</t>
  </si>
  <si>
    <t>SMILES</t>
  </si>
  <si>
    <t>HMDB_id</t>
  </si>
  <si>
    <t>Chebi_id</t>
  </si>
  <si>
    <t>Kegg_id</t>
  </si>
  <si>
    <t>CAS</t>
  </si>
  <si>
    <t>CASid</t>
  </si>
  <si>
    <t>metexplore</t>
  </si>
  <si>
    <t>PubChem_cid</t>
  </si>
  <si>
    <t>Synonym</t>
  </si>
  <si>
    <t>PubChem_name</t>
  </si>
  <si>
    <t>Classyfire_kingdom</t>
  </si>
  <si>
    <t>Classyfire_superclass</t>
  </si>
  <si>
    <t>Classyfire_class</t>
  </si>
  <si>
    <t>Classyfire_subclass</t>
  </si>
  <si>
    <t>NPclassifier_Superclass</t>
  </si>
  <si>
    <t>NPclassifier_Class</t>
  </si>
  <si>
    <t>NPclassifier_pathway</t>
  </si>
  <si>
    <t>isglycoside</t>
  </si>
  <si>
    <t>reference</t>
  </si>
  <si>
    <t>comments</t>
  </si>
  <si>
    <t>file</t>
  </si>
  <si>
    <t>QTOF-C18</t>
  </si>
  <si>
    <t>neg</t>
  </si>
  <si>
    <t>[M-H]-</t>
  </si>
  <si>
    <t>Organic compounds</t>
  </si>
  <si>
    <t>false</t>
  </si>
  <si>
    <t>pos</t>
  </si>
  <si>
    <t>[M+H]+</t>
  </si>
  <si>
    <t>[(M-H2O)-H]-</t>
  </si>
  <si>
    <t/>
  </si>
  <si>
    <t>[M-H]-_13C1</t>
  </si>
  <si>
    <t>[M-H]-_13C2</t>
  </si>
  <si>
    <t>[M-H]-_13C3</t>
  </si>
  <si>
    <t>[(M-H+Na)+Cl]-</t>
  </si>
  <si>
    <t>[(M-H+Na)+Cl]-_13C1</t>
  </si>
  <si>
    <t>[(M-H+Na)+CH3CO2]-</t>
  </si>
  <si>
    <t>[(M-H2O)+H]+</t>
  </si>
  <si>
    <t>[M+H]+_13C1</t>
  </si>
  <si>
    <t>[M+Na]+</t>
  </si>
  <si>
    <t>[M+Na]+_13C1</t>
  </si>
  <si>
    <t>Organoheterocyclic compounds</t>
  </si>
  <si>
    <t>[M+H]+_13C2</t>
  </si>
  <si>
    <t>UNK</t>
  </si>
  <si>
    <t>Organic acids and derivatives</t>
  </si>
  <si>
    <t>[(M-CO2)-H]-</t>
  </si>
  <si>
    <t>[(M-CO2)-H]-_13C1</t>
  </si>
  <si>
    <t>[(M-CO2)-H]-_13C2</t>
  </si>
  <si>
    <t>[M-H]-_13C4</t>
  </si>
  <si>
    <t>[(M-H+Na)-H]-</t>
  </si>
  <si>
    <t>[(M-H+Na)-H]-_13C1</t>
  </si>
  <si>
    <t>[(M-H+Na)-H]-_13C2</t>
  </si>
  <si>
    <t>[M+Cl]-</t>
  </si>
  <si>
    <t>[(M-H+K)-H]-</t>
  </si>
  <si>
    <t>[(M-H+K)-H]-_13C1</t>
  </si>
  <si>
    <t>[(M-H+K)-H]-_13C2</t>
  </si>
  <si>
    <t>[(M-H+K)-H]-_13C3</t>
  </si>
  <si>
    <t>[(M-H+Na)+CH3CO2]-_13C1</t>
  </si>
  <si>
    <t>[(M-NH3)+H]+</t>
  </si>
  <si>
    <t>[(M-NH3)+H]+_13C1</t>
  </si>
  <si>
    <t>[(M-NH3)+H]+_13C2</t>
  </si>
  <si>
    <t>[M+Na]+_13C2</t>
  </si>
  <si>
    <t>[(M-H2O-CO)+H]+</t>
  </si>
  <si>
    <t>[(M-H2O-CO)+H]+_13C1</t>
  </si>
  <si>
    <t>Carboxylic acids and derivatives</t>
  </si>
  <si>
    <t>Amino acids, peptides, and analogues</t>
  </si>
  <si>
    <t>Small peptides</t>
  </si>
  <si>
    <t>Aminoacids</t>
  </si>
  <si>
    <t>Amino acids and Peptides,Shikimates and Phenylpropanoids</t>
  </si>
  <si>
    <t>Indoles and derivatives</t>
  </si>
  <si>
    <t>[(M-H2O-CO)+H]+_13C2</t>
  </si>
  <si>
    <t>[(M-NH3)+H]+_13C3</t>
  </si>
  <si>
    <t>Indolyl carboxylic acids and derivatives</t>
  </si>
  <si>
    <t>C9H11NO2</t>
  </si>
  <si>
    <t>AXQTOF35220</t>
  </si>
  <si>
    <t>DL-Tryptophan</t>
  </si>
  <si>
    <t>C11H12N2O2</t>
  </si>
  <si>
    <t>InChI=1S/C11H12N2O2/c12-9(11(14)15)5-7-6-13-10-4-2-1-3-8(7)10/h1-4,6,9,13H,5,12H2,(H,14,15)</t>
  </si>
  <si>
    <t>QIVBCDIJIAJPQS-UHFFFAOYSA-N</t>
  </si>
  <si>
    <t>NC(Cc1c[nH]c2ccccc12)C(=O)O</t>
  </si>
  <si>
    <t>HMDB0030396</t>
  </si>
  <si>
    <t>CHEBI:27897,CHEBI:64554</t>
  </si>
  <si>
    <t>C00806</t>
  </si>
  <si>
    <t>54-12-6</t>
  </si>
  <si>
    <t>153-94-6,27813-82-7,54-12-6,73-22-3,76157-62-5</t>
  </si>
  <si>
    <t>1148</t>
  </si>
  <si>
    <t>DL-Tryptophan,54-12-6,2-amino-3-(1H-indol-3-yl)propanoic acid,Racemic Tryptophan,DL-Trytophane,DL-Trytophan,H-DL-Trp-OH,(+-)-Tryptophan,DL-tryptophane,DL-3beta-Indolylalanine,TRYPTOPHAN, DL-,d,l-trypt</t>
  </si>
  <si>
    <t>Racemic tryptophan</t>
  </si>
  <si>
    <t>G20Num289</t>
  </si>
  <si>
    <t>AXQTOF35230</t>
  </si>
  <si>
    <t>AXQTOF35240</t>
  </si>
  <si>
    <t>AXQTOF35250</t>
  </si>
  <si>
    <t>AXQTOF35260</t>
  </si>
  <si>
    <t>AXQTOF35270</t>
  </si>
  <si>
    <t>AXQTOF35280</t>
  </si>
  <si>
    <t>AXQTOF35290</t>
  </si>
  <si>
    <t>AXQTOF35300</t>
  </si>
  <si>
    <t>AXQTOF35310</t>
  </si>
  <si>
    <t>AXQTOF35320</t>
  </si>
  <si>
    <t>AXQTOF35330</t>
  </si>
  <si>
    <t>AXQTOF35340</t>
  </si>
  <si>
    <t>AXQTOF35350</t>
  </si>
  <si>
    <t>AXQTOF35360</t>
  </si>
  <si>
    <t>AXQTOF35370</t>
  </si>
  <si>
    <t>AXQTOF35380</t>
  </si>
  <si>
    <t>AXQTOF35390</t>
  </si>
  <si>
    <t>AXQTOF35400</t>
  </si>
  <si>
    <t>AXQTOF35410</t>
  </si>
  <si>
    <t>AXQTOF35420</t>
  </si>
  <si>
    <t>AXQTOF35430</t>
  </si>
  <si>
    <t>AXQTOF35440</t>
  </si>
  <si>
    <t>AXQTOF35450</t>
  </si>
  <si>
    <t>AXQTOF35460</t>
  </si>
  <si>
    <t>AXQTOF35470</t>
  </si>
  <si>
    <t>AXQTOF35480</t>
  </si>
  <si>
    <t>[(M-NH3)+H]+_13C4</t>
  </si>
  <si>
    <t>AXQTOF35490</t>
  </si>
  <si>
    <t>AXQTOF35500</t>
  </si>
  <si>
    <t>AXQTOF35510</t>
  </si>
  <si>
    <t>AXQTOF35520</t>
  </si>
  <si>
    <t>AXQTOF35530</t>
  </si>
  <si>
    <t>AXQTOF13500</t>
  </si>
  <si>
    <t>Phenylalanine</t>
  </si>
  <si>
    <t>InChI=1S/C9H11NO2/c10-8(9(11)12)6-7-4-2-1-3-5-7/h1-5,8H,6,10H2,(H,11,12)/t8-/m0/s1</t>
  </si>
  <si>
    <t>COLNVLDHVKWLRT-QMMMGPOBSA-N</t>
  </si>
  <si>
    <t>N[C@@H](Cc1ccccc1)C(=O)O</t>
  </si>
  <si>
    <t>HMDB0000159</t>
  </si>
  <si>
    <t>CHEBI:17295,CHEBI:58095</t>
  </si>
  <si>
    <t>C00079,D00021</t>
  </si>
  <si>
    <t>63-91-2</t>
  </si>
  <si>
    <t>149597-92-2,150-30-1,15099-85-1,3182-95-4,3617-44-5,58922-31-9,63-91-2,673-06-3,67675-33-6</t>
  </si>
  <si>
    <t>(2S)-2-amino-3-phenylpropanoic acid</t>
  </si>
  <si>
    <t>G8Num27</t>
  </si>
  <si>
    <t>AXQTOF13510</t>
  </si>
  <si>
    <t>AXQTOF13520</t>
  </si>
  <si>
    <t>AXQTOF13530</t>
  </si>
  <si>
    <t>AXQTOF13540</t>
  </si>
  <si>
    <t>AXQTOF13550</t>
  </si>
  <si>
    <t>AXQTOF13560</t>
  </si>
  <si>
    <t>AXQTOF13570</t>
  </si>
  <si>
    <t>AXQTOF13580</t>
  </si>
  <si>
    <t>AXQTOF13590</t>
  </si>
  <si>
    <t>AXQTOF13600</t>
  </si>
  <si>
    <t>AXQTOF13610</t>
  </si>
  <si>
    <t>AXQTOF13620</t>
  </si>
  <si>
    <t>AXQTOF13630</t>
  </si>
  <si>
    <t>AXQTOF13640</t>
  </si>
  <si>
    <t>AXQTOF13650</t>
  </si>
  <si>
    <t>AXQTOF13660</t>
  </si>
  <si>
    <t>AXQTOF13670</t>
  </si>
  <si>
    <t>AXQTOF13680</t>
  </si>
  <si>
    <t>AXQTOF13690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</si>
</sst>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"/>
  </numFmts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0" xfId="2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2" fillId="0" borderId="1" xfId="2" applyFont="1" applyFill="1" applyBorder="1" applyAlignment="1">
      <alignment horizontal="left" vertical="center"/>
    </xf>
    <xf numFmtId="0" fontId="2" fillId="0" borderId="0" xfId="0" applyFont="1" applyFill="1" applyAlignment="1">
      <alignment horizontal="left"/>
    </xf>
    <xf numFmtId="165" fontId="2" fillId="0" borderId="0" xfId="0" applyNumberFormat="1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top"/>
    </xf>
  </cellXfs>
  <cellStyles count="3">
    <cellStyle name="Normal" xfId="0" builtinId="0"/>
    <cellStyle name="Normal 2" xfId="1" xr:uid="{00000000-0005-0000-0000-000001000000}"/>
    <cellStyle name="Normal_Feuil4" xfId="2" xr:uid="{00000000-0005-0000-0000-000004000000}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53</xdr:row>
      <xdr:rowOff>0</xdr:rowOff>
    </xdr:from>
    <xdr:to>
      <xdr:col>7</xdr:col>
      <xdr:colOff>0</xdr:colOff>
      <xdr:row>53</xdr:row>
      <xdr:rowOff>0</xdr:rowOff>
    </xdr:to>
    <xdr:pic>
      <xdr:nvPicPr>
        <xdr:cNvPr id="54330" name="Image 1" descr="https://www.ebi.ac.uk/chebi/images/invisible_space.gif">
          <a:extLst>
            <a:ext uri="{FF2B5EF4-FFF2-40B4-BE49-F238E27FC236}">
              <a16:creationId xmlns:a16="http://schemas.microsoft.com/office/drawing/2014/main" id="{7945F3AA-8507-4015-8533-736549AD9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0" y="39509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47625</xdr:colOff>
      <xdr:row>53</xdr:row>
      <xdr:rowOff>0</xdr:rowOff>
    </xdr:from>
    <xdr:to>
      <xdr:col>13</xdr:col>
      <xdr:colOff>47625</xdr:colOff>
      <xdr:row>53</xdr:row>
      <xdr:rowOff>0</xdr:rowOff>
    </xdr:to>
    <xdr:pic>
      <xdr:nvPicPr>
        <xdr:cNvPr id="54331" name="Image 2" descr="https://www.ebi.ac.uk/chebi/images/invisible_space.gif">
          <a:extLst>
            <a:ext uri="{FF2B5EF4-FFF2-40B4-BE49-F238E27FC236}">
              <a16:creationId xmlns:a16="http://schemas.microsoft.com/office/drawing/2014/main" id="{9ABED6EB-55FC-4C70-A989-DBC9C0B8D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75" y="39509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85725</xdr:colOff>
      <xdr:row>53</xdr:row>
      <xdr:rowOff>0</xdr:rowOff>
    </xdr:from>
    <xdr:to>
      <xdr:col>13</xdr:col>
      <xdr:colOff>85725</xdr:colOff>
      <xdr:row>53</xdr:row>
      <xdr:rowOff>0</xdr:rowOff>
    </xdr:to>
    <xdr:pic>
      <xdr:nvPicPr>
        <xdr:cNvPr id="54332" name="Image 3" descr="https://www.ebi.ac.uk/chebi/images/invisible_space.gif">
          <a:extLst>
            <a:ext uri="{FF2B5EF4-FFF2-40B4-BE49-F238E27FC236}">
              <a16:creationId xmlns:a16="http://schemas.microsoft.com/office/drawing/2014/main" id="{92676B02-13CE-4145-AB26-90F795648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9475" y="39509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114300</xdr:colOff>
      <xdr:row>53</xdr:row>
      <xdr:rowOff>0</xdr:rowOff>
    </xdr:from>
    <xdr:to>
      <xdr:col>13</xdr:col>
      <xdr:colOff>123825</xdr:colOff>
      <xdr:row>53</xdr:row>
      <xdr:rowOff>0</xdr:rowOff>
    </xdr:to>
    <xdr:pic>
      <xdr:nvPicPr>
        <xdr:cNvPr id="54333" name="Image 4" descr="https://www.ebi.ac.uk/chebi/images/invisible_space.gif">
          <a:extLst>
            <a:ext uri="{FF2B5EF4-FFF2-40B4-BE49-F238E27FC236}">
              <a16:creationId xmlns:a16="http://schemas.microsoft.com/office/drawing/2014/main" id="{C94D0728-3400-4758-9E9E-B6DDDCEC9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8050" y="3950970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171450</xdr:colOff>
      <xdr:row>53</xdr:row>
      <xdr:rowOff>0</xdr:rowOff>
    </xdr:from>
    <xdr:to>
      <xdr:col>13</xdr:col>
      <xdr:colOff>171450</xdr:colOff>
      <xdr:row>53</xdr:row>
      <xdr:rowOff>0</xdr:rowOff>
    </xdr:to>
    <xdr:pic>
      <xdr:nvPicPr>
        <xdr:cNvPr id="54334" name="Image 5" descr="https://www.ebi.ac.uk/chebi/images/invisible_space.gif">
          <a:extLst>
            <a:ext uri="{FF2B5EF4-FFF2-40B4-BE49-F238E27FC236}">
              <a16:creationId xmlns:a16="http://schemas.microsoft.com/office/drawing/2014/main" id="{44EB317F-04B0-4B22-9323-38689E88C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5200" y="39509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190500</xdr:colOff>
      <xdr:row>53</xdr:row>
      <xdr:rowOff>0</xdr:rowOff>
    </xdr:from>
    <xdr:to>
      <xdr:col>13</xdr:col>
      <xdr:colOff>200025</xdr:colOff>
      <xdr:row>53</xdr:row>
      <xdr:rowOff>0</xdr:rowOff>
    </xdr:to>
    <xdr:pic>
      <xdr:nvPicPr>
        <xdr:cNvPr id="54335" name="Image 6" descr="https://www.ebi.ac.uk/chebi/images/invisible_space.gif">
          <a:extLst>
            <a:ext uri="{FF2B5EF4-FFF2-40B4-BE49-F238E27FC236}">
              <a16:creationId xmlns:a16="http://schemas.microsoft.com/office/drawing/2014/main" id="{07AEB97F-9973-46F6-9391-AA33F646E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3950970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247650</xdr:colOff>
      <xdr:row>53</xdr:row>
      <xdr:rowOff>0</xdr:rowOff>
    </xdr:from>
    <xdr:to>
      <xdr:col>13</xdr:col>
      <xdr:colOff>257175</xdr:colOff>
      <xdr:row>53</xdr:row>
      <xdr:rowOff>0</xdr:rowOff>
    </xdr:to>
    <xdr:pic>
      <xdr:nvPicPr>
        <xdr:cNvPr id="54336" name="Image 7" descr="https://www.ebi.ac.uk/chebi/images/invisible_space.gif">
          <a:extLst>
            <a:ext uri="{FF2B5EF4-FFF2-40B4-BE49-F238E27FC236}">
              <a16:creationId xmlns:a16="http://schemas.microsoft.com/office/drawing/2014/main" id="{85911563-AD4F-4362-9A20-3D01E71BD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1400" y="3950970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276225</xdr:colOff>
      <xdr:row>53</xdr:row>
      <xdr:rowOff>0</xdr:rowOff>
    </xdr:from>
    <xdr:to>
      <xdr:col>13</xdr:col>
      <xdr:colOff>276225</xdr:colOff>
      <xdr:row>53</xdr:row>
      <xdr:rowOff>0</xdr:rowOff>
    </xdr:to>
    <xdr:pic>
      <xdr:nvPicPr>
        <xdr:cNvPr id="54337" name="Image 8" descr="https://www.ebi.ac.uk/chebi/images/invisible_space.gif">
          <a:extLst>
            <a:ext uri="{FF2B5EF4-FFF2-40B4-BE49-F238E27FC236}">
              <a16:creationId xmlns:a16="http://schemas.microsoft.com/office/drawing/2014/main" id="{5FB6EB8E-145D-4CD1-A04E-6C9E9DEB1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9975" y="39509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333375</xdr:colOff>
      <xdr:row>53</xdr:row>
      <xdr:rowOff>0</xdr:rowOff>
    </xdr:from>
    <xdr:to>
      <xdr:col>13</xdr:col>
      <xdr:colOff>342900</xdr:colOff>
      <xdr:row>53</xdr:row>
      <xdr:rowOff>0</xdr:rowOff>
    </xdr:to>
    <xdr:pic>
      <xdr:nvPicPr>
        <xdr:cNvPr id="54338" name="Image 9" descr="https://www.ebi.ac.uk/chebi/images/invisible_space.gif">
          <a:extLst>
            <a:ext uri="{FF2B5EF4-FFF2-40B4-BE49-F238E27FC236}">
              <a16:creationId xmlns:a16="http://schemas.microsoft.com/office/drawing/2014/main" id="{D9A9AD34-0FEF-4BDD-92C0-FD13DBC77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7125" y="3950970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352425</xdr:colOff>
      <xdr:row>53</xdr:row>
      <xdr:rowOff>0</xdr:rowOff>
    </xdr:from>
    <xdr:to>
      <xdr:col>13</xdr:col>
      <xdr:colOff>352425</xdr:colOff>
      <xdr:row>53</xdr:row>
      <xdr:rowOff>0</xdr:rowOff>
    </xdr:to>
    <xdr:pic>
      <xdr:nvPicPr>
        <xdr:cNvPr id="54339" name="Image 10" descr="https://www.ebi.ac.uk/chebi/images/invisible_space.gif">
          <a:extLst>
            <a:ext uri="{FF2B5EF4-FFF2-40B4-BE49-F238E27FC236}">
              <a16:creationId xmlns:a16="http://schemas.microsoft.com/office/drawing/2014/main" id="{6862AD76-BBA6-4452-987E-3B9EC05D9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6175" y="39509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400050</xdr:colOff>
      <xdr:row>53</xdr:row>
      <xdr:rowOff>0</xdr:rowOff>
    </xdr:from>
    <xdr:to>
      <xdr:col>13</xdr:col>
      <xdr:colOff>400050</xdr:colOff>
      <xdr:row>53</xdr:row>
      <xdr:rowOff>0</xdr:rowOff>
    </xdr:to>
    <xdr:pic>
      <xdr:nvPicPr>
        <xdr:cNvPr id="54340" name="Image 11" descr="https://www.ebi.ac.uk/chebi/images/invisible_space.gif">
          <a:extLst>
            <a:ext uri="{FF2B5EF4-FFF2-40B4-BE49-F238E27FC236}">
              <a16:creationId xmlns:a16="http://schemas.microsoft.com/office/drawing/2014/main" id="{5773E329-A517-494E-822E-733BC418E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39509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457200</xdr:colOff>
      <xdr:row>53</xdr:row>
      <xdr:rowOff>0</xdr:rowOff>
    </xdr:from>
    <xdr:to>
      <xdr:col>13</xdr:col>
      <xdr:colOff>485775</xdr:colOff>
      <xdr:row>53</xdr:row>
      <xdr:rowOff>0</xdr:rowOff>
    </xdr:to>
    <xdr:pic>
      <xdr:nvPicPr>
        <xdr:cNvPr id="54341" name="Image 12" descr="https://www.ebi.ac.uk/chebi/images/invisible_space.gif">
          <a:extLst>
            <a:ext uri="{FF2B5EF4-FFF2-40B4-BE49-F238E27FC236}">
              <a16:creationId xmlns:a16="http://schemas.microsoft.com/office/drawing/2014/main" id="{FB13DB15-FBE9-449D-BF4F-FC8348C1A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0950" y="395097000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476250</xdr:colOff>
      <xdr:row>53</xdr:row>
      <xdr:rowOff>0</xdr:rowOff>
    </xdr:from>
    <xdr:to>
      <xdr:col>13</xdr:col>
      <xdr:colOff>485775</xdr:colOff>
      <xdr:row>53</xdr:row>
      <xdr:rowOff>0</xdr:rowOff>
    </xdr:to>
    <xdr:pic>
      <xdr:nvPicPr>
        <xdr:cNvPr id="54342" name="Image 13" descr="https://www.ebi.ac.uk/chebi/images/invisible_space.gif">
          <a:extLst>
            <a:ext uri="{FF2B5EF4-FFF2-40B4-BE49-F238E27FC236}">
              <a16:creationId xmlns:a16="http://schemas.microsoft.com/office/drawing/2014/main" id="{13565FB8-B1FB-47F4-803E-C5E6CACB8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0" y="3950970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523875</xdr:colOff>
      <xdr:row>53</xdr:row>
      <xdr:rowOff>0</xdr:rowOff>
    </xdr:from>
    <xdr:to>
      <xdr:col>13</xdr:col>
      <xdr:colOff>571500</xdr:colOff>
      <xdr:row>53</xdr:row>
      <xdr:rowOff>0</xdr:rowOff>
    </xdr:to>
    <xdr:pic>
      <xdr:nvPicPr>
        <xdr:cNvPr id="54343" name="Image 14" descr="https://www.ebi.ac.uk/chebi/images/invisible_space.gif">
          <a:extLst>
            <a:ext uri="{FF2B5EF4-FFF2-40B4-BE49-F238E27FC236}">
              <a16:creationId xmlns:a16="http://schemas.microsoft.com/office/drawing/2014/main" id="{1F0412F3-3515-474A-BC67-5EFB69F0D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7625" y="395097000"/>
          <a:ext cx="47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571500</xdr:colOff>
      <xdr:row>53</xdr:row>
      <xdr:rowOff>0</xdr:rowOff>
    </xdr:from>
    <xdr:to>
      <xdr:col>13</xdr:col>
      <xdr:colOff>581025</xdr:colOff>
      <xdr:row>53</xdr:row>
      <xdr:rowOff>0</xdr:rowOff>
    </xdr:to>
    <xdr:pic>
      <xdr:nvPicPr>
        <xdr:cNvPr id="54344" name="Image 15" descr="https://www.ebi.ac.uk/chebi/images/invisible_space.gif">
          <a:extLst>
            <a:ext uri="{FF2B5EF4-FFF2-40B4-BE49-F238E27FC236}">
              <a16:creationId xmlns:a16="http://schemas.microsoft.com/office/drawing/2014/main" id="{CBA98A2C-E4A3-4A60-B501-6D2365F6D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0" y="3950970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609600</xdr:colOff>
      <xdr:row>53</xdr:row>
      <xdr:rowOff>0</xdr:rowOff>
    </xdr:from>
    <xdr:to>
      <xdr:col>13</xdr:col>
      <xdr:colOff>619125</xdr:colOff>
      <xdr:row>53</xdr:row>
      <xdr:rowOff>0</xdr:rowOff>
    </xdr:to>
    <xdr:pic>
      <xdr:nvPicPr>
        <xdr:cNvPr id="54345" name="Image 16" descr="https://www.ebi.ac.uk/chebi/images/invisible_space.gif">
          <a:extLst>
            <a:ext uri="{FF2B5EF4-FFF2-40B4-BE49-F238E27FC236}">
              <a16:creationId xmlns:a16="http://schemas.microsoft.com/office/drawing/2014/main" id="{BE3370E5-FF0C-42F3-9046-C08288DC4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3350" y="3950970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628650</xdr:colOff>
      <xdr:row>53</xdr:row>
      <xdr:rowOff>0</xdr:rowOff>
    </xdr:from>
    <xdr:to>
      <xdr:col>13</xdr:col>
      <xdr:colOff>628650</xdr:colOff>
      <xdr:row>53</xdr:row>
      <xdr:rowOff>0</xdr:rowOff>
    </xdr:to>
    <xdr:pic>
      <xdr:nvPicPr>
        <xdr:cNvPr id="54346" name="Image 17" descr="https://www.ebi.ac.uk/chebi/images/invisible_space.gif">
          <a:extLst>
            <a:ext uri="{FF2B5EF4-FFF2-40B4-BE49-F238E27FC236}">
              <a16:creationId xmlns:a16="http://schemas.microsoft.com/office/drawing/2014/main" id="{2F4B57BE-AF1F-44BD-9FD0-0BA52119E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39509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676275</xdr:colOff>
      <xdr:row>53</xdr:row>
      <xdr:rowOff>0</xdr:rowOff>
    </xdr:from>
    <xdr:to>
      <xdr:col>13</xdr:col>
      <xdr:colOff>676275</xdr:colOff>
      <xdr:row>53</xdr:row>
      <xdr:rowOff>0</xdr:rowOff>
    </xdr:to>
    <xdr:pic>
      <xdr:nvPicPr>
        <xdr:cNvPr id="54347" name="Image 18" descr="https://www.ebi.ac.uk/chebi/images/invisible_space.gif">
          <a:extLst>
            <a:ext uri="{FF2B5EF4-FFF2-40B4-BE49-F238E27FC236}">
              <a16:creationId xmlns:a16="http://schemas.microsoft.com/office/drawing/2014/main" id="{F53B917C-527C-419E-915B-09C04DB0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39509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714375</xdr:colOff>
      <xdr:row>53</xdr:row>
      <xdr:rowOff>0</xdr:rowOff>
    </xdr:from>
    <xdr:to>
      <xdr:col>13</xdr:col>
      <xdr:colOff>723900</xdr:colOff>
      <xdr:row>53</xdr:row>
      <xdr:rowOff>0</xdr:rowOff>
    </xdr:to>
    <xdr:pic>
      <xdr:nvPicPr>
        <xdr:cNvPr id="54348" name="Image 19" descr="https://www.ebi.ac.uk/chebi/images/invisible_space.gif">
          <a:extLst>
            <a:ext uri="{FF2B5EF4-FFF2-40B4-BE49-F238E27FC236}">
              <a16:creationId xmlns:a16="http://schemas.microsoft.com/office/drawing/2014/main" id="{835DDC2B-4C31-470D-8654-B238306F6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3950970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809625</xdr:colOff>
      <xdr:row>53</xdr:row>
      <xdr:rowOff>0</xdr:rowOff>
    </xdr:from>
    <xdr:to>
      <xdr:col>13</xdr:col>
      <xdr:colOff>819150</xdr:colOff>
      <xdr:row>53</xdr:row>
      <xdr:rowOff>0</xdr:rowOff>
    </xdr:to>
    <xdr:pic>
      <xdr:nvPicPr>
        <xdr:cNvPr id="54349" name="Image 21" descr="https://www.ebi.ac.uk/chebi/images/invisible_space.gif">
          <a:extLst>
            <a:ext uri="{FF2B5EF4-FFF2-40B4-BE49-F238E27FC236}">
              <a16:creationId xmlns:a16="http://schemas.microsoft.com/office/drawing/2014/main" id="{FA6CAF87-1C8C-471A-8A2E-09C0B2556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3950970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828675</xdr:colOff>
      <xdr:row>53</xdr:row>
      <xdr:rowOff>0</xdr:rowOff>
    </xdr:from>
    <xdr:to>
      <xdr:col>13</xdr:col>
      <xdr:colOff>828675</xdr:colOff>
      <xdr:row>53</xdr:row>
      <xdr:rowOff>0</xdr:rowOff>
    </xdr:to>
    <xdr:pic>
      <xdr:nvPicPr>
        <xdr:cNvPr id="54350" name="Image 22" descr="https://www.ebi.ac.uk/chebi/images/invisible_space.gif">
          <a:extLst>
            <a:ext uri="{FF2B5EF4-FFF2-40B4-BE49-F238E27FC236}">
              <a16:creationId xmlns:a16="http://schemas.microsoft.com/office/drawing/2014/main" id="{C369FD24-3BF9-4279-A9C5-F9FE6B609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82425" y="39509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866775</xdr:colOff>
      <xdr:row>53</xdr:row>
      <xdr:rowOff>0</xdr:rowOff>
    </xdr:from>
    <xdr:to>
      <xdr:col>13</xdr:col>
      <xdr:colOff>866775</xdr:colOff>
      <xdr:row>53</xdr:row>
      <xdr:rowOff>0</xdr:rowOff>
    </xdr:to>
    <xdr:pic>
      <xdr:nvPicPr>
        <xdr:cNvPr id="54351" name="Image 23" descr="https://www.ebi.ac.uk/chebi/images/invisible_space.gif">
          <a:extLst>
            <a:ext uri="{FF2B5EF4-FFF2-40B4-BE49-F238E27FC236}">
              <a16:creationId xmlns:a16="http://schemas.microsoft.com/office/drawing/2014/main" id="{A53011D1-A14A-4DB8-A3F8-8192AD43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0525" y="39509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914400</xdr:colOff>
      <xdr:row>53</xdr:row>
      <xdr:rowOff>0</xdr:rowOff>
    </xdr:from>
    <xdr:to>
      <xdr:col>13</xdr:col>
      <xdr:colOff>914400</xdr:colOff>
      <xdr:row>53</xdr:row>
      <xdr:rowOff>0</xdr:rowOff>
    </xdr:to>
    <xdr:pic>
      <xdr:nvPicPr>
        <xdr:cNvPr id="54352" name="Image 24" descr="https://www.ebi.ac.uk/chebi/images/invisible_space.gif">
          <a:extLst>
            <a:ext uri="{FF2B5EF4-FFF2-40B4-BE49-F238E27FC236}">
              <a16:creationId xmlns:a16="http://schemas.microsoft.com/office/drawing/2014/main" id="{4B4EB1E8-3FE6-4E86-A343-66E80DAE8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8150" y="39509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962025</xdr:colOff>
      <xdr:row>53</xdr:row>
      <xdr:rowOff>0</xdr:rowOff>
    </xdr:from>
    <xdr:to>
      <xdr:col>13</xdr:col>
      <xdr:colOff>962025</xdr:colOff>
      <xdr:row>53</xdr:row>
      <xdr:rowOff>0</xdr:rowOff>
    </xdr:to>
    <xdr:pic>
      <xdr:nvPicPr>
        <xdr:cNvPr id="54353" name="Image 25" descr="https://www.ebi.ac.uk/chebi/images/invisible_space.gif">
          <a:extLst>
            <a:ext uri="{FF2B5EF4-FFF2-40B4-BE49-F238E27FC236}">
              <a16:creationId xmlns:a16="http://schemas.microsoft.com/office/drawing/2014/main" id="{00F8CA1B-111F-4D36-8277-F1D0B0554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15775" y="39509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1009650</xdr:colOff>
      <xdr:row>53</xdr:row>
      <xdr:rowOff>0</xdr:rowOff>
    </xdr:from>
    <xdr:to>
      <xdr:col>13</xdr:col>
      <xdr:colOff>1019175</xdr:colOff>
      <xdr:row>53</xdr:row>
      <xdr:rowOff>0</xdr:rowOff>
    </xdr:to>
    <xdr:pic>
      <xdr:nvPicPr>
        <xdr:cNvPr id="54354" name="Image 26" descr="https://www.ebi.ac.uk/chebi/images/invisible_space.gif">
          <a:extLst>
            <a:ext uri="{FF2B5EF4-FFF2-40B4-BE49-F238E27FC236}">
              <a16:creationId xmlns:a16="http://schemas.microsoft.com/office/drawing/2014/main" id="{E9F7BB3D-7A10-4802-8409-258C3E432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3400" y="3950970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1047750</xdr:colOff>
      <xdr:row>53</xdr:row>
      <xdr:rowOff>0</xdr:rowOff>
    </xdr:from>
    <xdr:to>
      <xdr:col>14</xdr:col>
      <xdr:colOff>0</xdr:colOff>
      <xdr:row>53</xdr:row>
      <xdr:rowOff>0</xdr:rowOff>
    </xdr:to>
    <xdr:pic>
      <xdr:nvPicPr>
        <xdr:cNvPr id="54355" name="Image 27" descr="https://www.ebi.ac.uk/chebi/images/invisible_space.gif">
          <a:extLst>
            <a:ext uri="{FF2B5EF4-FFF2-40B4-BE49-F238E27FC236}">
              <a16:creationId xmlns:a16="http://schemas.microsoft.com/office/drawing/2014/main" id="{224C3732-F830-4B12-9755-C693D5A0F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395097000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1076325</xdr:colOff>
      <xdr:row>53</xdr:row>
      <xdr:rowOff>0</xdr:rowOff>
    </xdr:from>
    <xdr:to>
      <xdr:col>14</xdr:col>
      <xdr:colOff>19050</xdr:colOff>
      <xdr:row>53</xdr:row>
      <xdr:rowOff>0</xdr:rowOff>
    </xdr:to>
    <xdr:pic>
      <xdr:nvPicPr>
        <xdr:cNvPr id="54356" name="Image 28" descr="https://www.ebi.ac.uk/chebi/images/invisible_space.gif">
          <a:extLst>
            <a:ext uri="{FF2B5EF4-FFF2-40B4-BE49-F238E27FC236}">
              <a16:creationId xmlns:a16="http://schemas.microsoft.com/office/drawing/2014/main" id="{3E855736-0836-45CE-BFEA-A10D0D933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0075" y="395097000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1123950</xdr:colOff>
      <xdr:row>53</xdr:row>
      <xdr:rowOff>0</xdr:rowOff>
    </xdr:from>
    <xdr:to>
      <xdr:col>14</xdr:col>
      <xdr:colOff>3810</xdr:colOff>
      <xdr:row>53</xdr:row>
      <xdr:rowOff>0</xdr:rowOff>
    </xdr:to>
    <xdr:pic>
      <xdr:nvPicPr>
        <xdr:cNvPr id="54357" name="Image 29" descr="https://www.ebi.ac.uk/chebi/images/invisible_space.gif">
          <a:extLst>
            <a:ext uri="{FF2B5EF4-FFF2-40B4-BE49-F238E27FC236}">
              <a16:creationId xmlns:a16="http://schemas.microsoft.com/office/drawing/2014/main" id="{F8A05142-B5C6-43E9-B7A1-CAB7C089C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7700" y="3950970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0</xdr:colOff>
      <xdr:row>53</xdr:row>
      <xdr:rowOff>0</xdr:rowOff>
    </xdr:to>
    <xdr:pic>
      <xdr:nvPicPr>
        <xdr:cNvPr id="54358" name="Image 30" descr="https://www.ebi.ac.uk/chebi/images/invisible_space.gif">
          <a:extLst>
            <a:ext uri="{FF2B5EF4-FFF2-40B4-BE49-F238E27FC236}">
              <a16:creationId xmlns:a16="http://schemas.microsoft.com/office/drawing/2014/main" id="{A51C5D57-1C63-40DD-A618-4F09FC316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0" y="39525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47625</xdr:colOff>
      <xdr:row>53</xdr:row>
      <xdr:rowOff>0</xdr:rowOff>
    </xdr:from>
    <xdr:to>
      <xdr:col>13</xdr:col>
      <xdr:colOff>47625</xdr:colOff>
      <xdr:row>53</xdr:row>
      <xdr:rowOff>0</xdr:rowOff>
    </xdr:to>
    <xdr:pic>
      <xdr:nvPicPr>
        <xdr:cNvPr id="54359" name="Image 31" descr="https://www.ebi.ac.uk/chebi/images/invisible_space.gif">
          <a:extLst>
            <a:ext uri="{FF2B5EF4-FFF2-40B4-BE49-F238E27FC236}">
              <a16:creationId xmlns:a16="http://schemas.microsoft.com/office/drawing/2014/main" id="{A0D3A6E6-2A07-4D02-90D2-773236310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75" y="39525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85725</xdr:colOff>
      <xdr:row>53</xdr:row>
      <xdr:rowOff>0</xdr:rowOff>
    </xdr:from>
    <xdr:to>
      <xdr:col>13</xdr:col>
      <xdr:colOff>85725</xdr:colOff>
      <xdr:row>53</xdr:row>
      <xdr:rowOff>0</xdr:rowOff>
    </xdr:to>
    <xdr:pic>
      <xdr:nvPicPr>
        <xdr:cNvPr id="54360" name="Image 32" descr="https://www.ebi.ac.uk/chebi/images/invisible_space.gif">
          <a:extLst>
            <a:ext uri="{FF2B5EF4-FFF2-40B4-BE49-F238E27FC236}">
              <a16:creationId xmlns:a16="http://schemas.microsoft.com/office/drawing/2014/main" id="{BD72338E-58CB-4CA2-A1E1-414AF9246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9475" y="39525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114300</xdr:colOff>
      <xdr:row>53</xdr:row>
      <xdr:rowOff>0</xdr:rowOff>
    </xdr:from>
    <xdr:to>
      <xdr:col>13</xdr:col>
      <xdr:colOff>123825</xdr:colOff>
      <xdr:row>53</xdr:row>
      <xdr:rowOff>0</xdr:rowOff>
    </xdr:to>
    <xdr:pic>
      <xdr:nvPicPr>
        <xdr:cNvPr id="54361" name="Image 33" descr="https://www.ebi.ac.uk/chebi/images/invisible_space.gif">
          <a:extLst>
            <a:ext uri="{FF2B5EF4-FFF2-40B4-BE49-F238E27FC236}">
              <a16:creationId xmlns:a16="http://schemas.microsoft.com/office/drawing/2014/main" id="{1B3BEA5D-A17A-44D9-9CEB-BBCF09767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8050" y="39525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171450</xdr:colOff>
      <xdr:row>53</xdr:row>
      <xdr:rowOff>0</xdr:rowOff>
    </xdr:from>
    <xdr:to>
      <xdr:col>13</xdr:col>
      <xdr:colOff>171450</xdr:colOff>
      <xdr:row>53</xdr:row>
      <xdr:rowOff>0</xdr:rowOff>
    </xdr:to>
    <xdr:pic>
      <xdr:nvPicPr>
        <xdr:cNvPr id="54362" name="Image 34" descr="https://www.ebi.ac.uk/chebi/images/invisible_space.gif">
          <a:extLst>
            <a:ext uri="{FF2B5EF4-FFF2-40B4-BE49-F238E27FC236}">
              <a16:creationId xmlns:a16="http://schemas.microsoft.com/office/drawing/2014/main" id="{9EC37096-D519-442F-B109-8B7139B28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5200" y="39525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190500</xdr:colOff>
      <xdr:row>53</xdr:row>
      <xdr:rowOff>0</xdr:rowOff>
    </xdr:from>
    <xdr:to>
      <xdr:col>13</xdr:col>
      <xdr:colOff>200025</xdr:colOff>
      <xdr:row>53</xdr:row>
      <xdr:rowOff>0</xdr:rowOff>
    </xdr:to>
    <xdr:pic>
      <xdr:nvPicPr>
        <xdr:cNvPr id="54363" name="Image 35" descr="https://www.ebi.ac.uk/chebi/images/invisible_space.gif">
          <a:extLst>
            <a:ext uri="{FF2B5EF4-FFF2-40B4-BE49-F238E27FC236}">
              <a16:creationId xmlns:a16="http://schemas.microsoft.com/office/drawing/2014/main" id="{F176011C-45C6-4972-89CD-B6E1C4A1F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39525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276225</xdr:colOff>
      <xdr:row>53</xdr:row>
      <xdr:rowOff>0</xdr:rowOff>
    </xdr:from>
    <xdr:to>
      <xdr:col>13</xdr:col>
      <xdr:colOff>276225</xdr:colOff>
      <xdr:row>53</xdr:row>
      <xdr:rowOff>0</xdr:rowOff>
    </xdr:to>
    <xdr:pic>
      <xdr:nvPicPr>
        <xdr:cNvPr id="54364" name="Image 37" descr="https://www.ebi.ac.uk/chebi/images/invisible_space.gif">
          <a:extLst>
            <a:ext uri="{FF2B5EF4-FFF2-40B4-BE49-F238E27FC236}">
              <a16:creationId xmlns:a16="http://schemas.microsoft.com/office/drawing/2014/main" id="{B27EB4AF-469C-4A5F-9320-26B10FCA3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9975" y="39525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333375</xdr:colOff>
      <xdr:row>53</xdr:row>
      <xdr:rowOff>0</xdr:rowOff>
    </xdr:from>
    <xdr:to>
      <xdr:col>13</xdr:col>
      <xdr:colOff>342900</xdr:colOff>
      <xdr:row>53</xdr:row>
      <xdr:rowOff>0</xdr:rowOff>
    </xdr:to>
    <xdr:pic>
      <xdr:nvPicPr>
        <xdr:cNvPr id="54365" name="Image 38" descr="https://www.ebi.ac.uk/chebi/images/invisible_space.gif">
          <a:extLst>
            <a:ext uri="{FF2B5EF4-FFF2-40B4-BE49-F238E27FC236}">
              <a16:creationId xmlns:a16="http://schemas.microsoft.com/office/drawing/2014/main" id="{8192000A-CAD3-40E8-934E-06EFBFC4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7125" y="39525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352425</xdr:colOff>
      <xdr:row>53</xdr:row>
      <xdr:rowOff>0</xdr:rowOff>
    </xdr:from>
    <xdr:to>
      <xdr:col>13</xdr:col>
      <xdr:colOff>352425</xdr:colOff>
      <xdr:row>53</xdr:row>
      <xdr:rowOff>0</xdr:rowOff>
    </xdr:to>
    <xdr:pic>
      <xdr:nvPicPr>
        <xdr:cNvPr id="54366" name="Image 39" descr="https://www.ebi.ac.uk/chebi/images/invisible_space.gif">
          <a:extLst>
            <a:ext uri="{FF2B5EF4-FFF2-40B4-BE49-F238E27FC236}">
              <a16:creationId xmlns:a16="http://schemas.microsoft.com/office/drawing/2014/main" id="{C7D2F794-A171-4445-89C4-76E2482E8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6175" y="39525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400050</xdr:colOff>
      <xdr:row>53</xdr:row>
      <xdr:rowOff>0</xdr:rowOff>
    </xdr:from>
    <xdr:to>
      <xdr:col>13</xdr:col>
      <xdr:colOff>400050</xdr:colOff>
      <xdr:row>53</xdr:row>
      <xdr:rowOff>0</xdr:rowOff>
    </xdr:to>
    <xdr:pic>
      <xdr:nvPicPr>
        <xdr:cNvPr id="54367" name="Image 40" descr="https://www.ebi.ac.uk/chebi/images/invisible_space.gif">
          <a:extLst>
            <a:ext uri="{FF2B5EF4-FFF2-40B4-BE49-F238E27FC236}">
              <a16:creationId xmlns:a16="http://schemas.microsoft.com/office/drawing/2014/main" id="{BD48AA69-A8D2-4A2F-A27C-C95DCAEEC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39525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457200</xdr:colOff>
      <xdr:row>53</xdr:row>
      <xdr:rowOff>0</xdr:rowOff>
    </xdr:from>
    <xdr:to>
      <xdr:col>13</xdr:col>
      <xdr:colOff>485775</xdr:colOff>
      <xdr:row>53</xdr:row>
      <xdr:rowOff>0</xdr:rowOff>
    </xdr:to>
    <xdr:pic>
      <xdr:nvPicPr>
        <xdr:cNvPr id="54368" name="Image 41" descr="https://www.ebi.ac.uk/chebi/images/invisible_space.gif">
          <a:extLst>
            <a:ext uri="{FF2B5EF4-FFF2-40B4-BE49-F238E27FC236}">
              <a16:creationId xmlns:a16="http://schemas.microsoft.com/office/drawing/2014/main" id="{0C4A8B55-40A5-4E18-A1F7-528FFD826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0950" y="395258925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476250</xdr:colOff>
      <xdr:row>53</xdr:row>
      <xdr:rowOff>0</xdr:rowOff>
    </xdr:from>
    <xdr:to>
      <xdr:col>13</xdr:col>
      <xdr:colOff>485775</xdr:colOff>
      <xdr:row>53</xdr:row>
      <xdr:rowOff>0</xdr:rowOff>
    </xdr:to>
    <xdr:pic>
      <xdr:nvPicPr>
        <xdr:cNvPr id="54369" name="Image 42" descr="https://www.ebi.ac.uk/chebi/images/invisible_space.gif">
          <a:extLst>
            <a:ext uri="{FF2B5EF4-FFF2-40B4-BE49-F238E27FC236}">
              <a16:creationId xmlns:a16="http://schemas.microsoft.com/office/drawing/2014/main" id="{62A4FAB1-54BC-4505-924B-D814A9BA7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0" y="39525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523875</xdr:colOff>
      <xdr:row>53</xdr:row>
      <xdr:rowOff>0</xdr:rowOff>
    </xdr:from>
    <xdr:to>
      <xdr:col>13</xdr:col>
      <xdr:colOff>571500</xdr:colOff>
      <xdr:row>53</xdr:row>
      <xdr:rowOff>0</xdr:rowOff>
    </xdr:to>
    <xdr:pic>
      <xdr:nvPicPr>
        <xdr:cNvPr id="54370" name="Image 43" descr="https://www.ebi.ac.uk/chebi/images/invisible_space.gif">
          <a:extLst>
            <a:ext uri="{FF2B5EF4-FFF2-40B4-BE49-F238E27FC236}">
              <a16:creationId xmlns:a16="http://schemas.microsoft.com/office/drawing/2014/main" id="{61B32D35-231D-48FA-AC8A-1D2028DF4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7625" y="395258925"/>
          <a:ext cx="47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571500</xdr:colOff>
      <xdr:row>53</xdr:row>
      <xdr:rowOff>0</xdr:rowOff>
    </xdr:from>
    <xdr:to>
      <xdr:col>13</xdr:col>
      <xdr:colOff>581025</xdr:colOff>
      <xdr:row>53</xdr:row>
      <xdr:rowOff>0</xdr:rowOff>
    </xdr:to>
    <xdr:pic>
      <xdr:nvPicPr>
        <xdr:cNvPr id="54371" name="Image 44" descr="https://www.ebi.ac.uk/chebi/images/invisible_space.gif">
          <a:extLst>
            <a:ext uri="{FF2B5EF4-FFF2-40B4-BE49-F238E27FC236}">
              <a16:creationId xmlns:a16="http://schemas.microsoft.com/office/drawing/2014/main" id="{D38BE66D-E375-45C4-9BFD-FD39480B0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0" y="39525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609600</xdr:colOff>
      <xdr:row>53</xdr:row>
      <xdr:rowOff>0</xdr:rowOff>
    </xdr:from>
    <xdr:to>
      <xdr:col>13</xdr:col>
      <xdr:colOff>619125</xdr:colOff>
      <xdr:row>53</xdr:row>
      <xdr:rowOff>0</xdr:rowOff>
    </xdr:to>
    <xdr:pic>
      <xdr:nvPicPr>
        <xdr:cNvPr id="54372" name="Image 45" descr="https://www.ebi.ac.uk/chebi/images/invisible_space.gif">
          <a:extLst>
            <a:ext uri="{FF2B5EF4-FFF2-40B4-BE49-F238E27FC236}">
              <a16:creationId xmlns:a16="http://schemas.microsoft.com/office/drawing/2014/main" id="{92D5BA54-6146-40E0-8B2F-2B627B7EC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3350" y="39525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628650</xdr:colOff>
      <xdr:row>53</xdr:row>
      <xdr:rowOff>0</xdr:rowOff>
    </xdr:from>
    <xdr:to>
      <xdr:col>13</xdr:col>
      <xdr:colOff>628650</xdr:colOff>
      <xdr:row>53</xdr:row>
      <xdr:rowOff>0</xdr:rowOff>
    </xdr:to>
    <xdr:pic>
      <xdr:nvPicPr>
        <xdr:cNvPr id="54373" name="Image 46" descr="https://www.ebi.ac.uk/chebi/images/invisible_space.gif">
          <a:extLst>
            <a:ext uri="{FF2B5EF4-FFF2-40B4-BE49-F238E27FC236}">
              <a16:creationId xmlns:a16="http://schemas.microsoft.com/office/drawing/2014/main" id="{9DA097CF-F779-4CAD-97A1-4F877FB9E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39525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676275</xdr:colOff>
      <xdr:row>53</xdr:row>
      <xdr:rowOff>0</xdr:rowOff>
    </xdr:from>
    <xdr:to>
      <xdr:col>13</xdr:col>
      <xdr:colOff>676275</xdr:colOff>
      <xdr:row>53</xdr:row>
      <xdr:rowOff>0</xdr:rowOff>
    </xdr:to>
    <xdr:pic>
      <xdr:nvPicPr>
        <xdr:cNvPr id="54374" name="Image 47" descr="https://www.ebi.ac.uk/chebi/images/invisible_space.gif">
          <a:extLst>
            <a:ext uri="{FF2B5EF4-FFF2-40B4-BE49-F238E27FC236}">
              <a16:creationId xmlns:a16="http://schemas.microsoft.com/office/drawing/2014/main" id="{B975E1A6-8742-4D39-8A94-6D22051D1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39525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809625</xdr:colOff>
      <xdr:row>53</xdr:row>
      <xdr:rowOff>0</xdr:rowOff>
    </xdr:from>
    <xdr:to>
      <xdr:col>13</xdr:col>
      <xdr:colOff>819150</xdr:colOff>
      <xdr:row>53</xdr:row>
      <xdr:rowOff>0</xdr:rowOff>
    </xdr:to>
    <xdr:pic>
      <xdr:nvPicPr>
        <xdr:cNvPr id="54375" name="Image 50" descr="https://www.ebi.ac.uk/chebi/images/invisible_space.gif">
          <a:extLst>
            <a:ext uri="{FF2B5EF4-FFF2-40B4-BE49-F238E27FC236}">
              <a16:creationId xmlns:a16="http://schemas.microsoft.com/office/drawing/2014/main" id="{40714AF9-42BF-48F0-8448-2E0AF0226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39525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866775</xdr:colOff>
      <xdr:row>53</xdr:row>
      <xdr:rowOff>0</xdr:rowOff>
    </xdr:from>
    <xdr:to>
      <xdr:col>13</xdr:col>
      <xdr:colOff>866775</xdr:colOff>
      <xdr:row>53</xdr:row>
      <xdr:rowOff>0</xdr:rowOff>
    </xdr:to>
    <xdr:pic>
      <xdr:nvPicPr>
        <xdr:cNvPr id="54376" name="Image 52" descr="https://www.ebi.ac.uk/chebi/images/invisible_space.gif">
          <a:extLst>
            <a:ext uri="{FF2B5EF4-FFF2-40B4-BE49-F238E27FC236}">
              <a16:creationId xmlns:a16="http://schemas.microsoft.com/office/drawing/2014/main" id="{C6083F8F-4B8F-445D-BD90-6FE0707CF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0525" y="39525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1047750</xdr:colOff>
      <xdr:row>53</xdr:row>
      <xdr:rowOff>0</xdr:rowOff>
    </xdr:from>
    <xdr:to>
      <xdr:col>14</xdr:col>
      <xdr:colOff>0</xdr:colOff>
      <xdr:row>53</xdr:row>
      <xdr:rowOff>0</xdr:rowOff>
    </xdr:to>
    <xdr:pic>
      <xdr:nvPicPr>
        <xdr:cNvPr id="54377" name="Image 56" descr="https://www.ebi.ac.uk/chebi/images/invisible_space.gif">
          <a:extLst>
            <a:ext uri="{FF2B5EF4-FFF2-40B4-BE49-F238E27FC236}">
              <a16:creationId xmlns:a16="http://schemas.microsoft.com/office/drawing/2014/main" id="{2FAD87F5-A693-4C8C-BBC7-006FBC8DF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39525892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1076325</xdr:colOff>
      <xdr:row>53</xdr:row>
      <xdr:rowOff>0</xdr:rowOff>
    </xdr:from>
    <xdr:to>
      <xdr:col>14</xdr:col>
      <xdr:colOff>19050</xdr:colOff>
      <xdr:row>53</xdr:row>
      <xdr:rowOff>0</xdr:rowOff>
    </xdr:to>
    <xdr:pic>
      <xdr:nvPicPr>
        <xdr:cNvPr id="54378" name="Image 57" descr="https://www.ebi.ac.uk/chebi/images/invisible_space.gif">
          <a:extLst>
            <a:ext uri="{FF2B5EF4-FFF2-40B4-BE49-F238E27FC236}">
              <a16:creationId xmlns:a16="http://schemas.microsoft.com/office/drawing/2014/main" id="{20A8B281-7DB2-4822-BD75-B2F37EF6F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0075" y="39525892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571500</xdr:colOff>
      <xdr:row>53</xdr:row>
      <xdr:rowOff>0</xdr:rowOff>
    </xdr:from>
    <xdr:to>
      <xdr:col>19</xdr:col>
      <xdr:colOff>581025</xdr:colOff>
      <xdr:row>53</xdr:row>
      <xdr:rowOff>0</xdr:rowOff>
    </xdr:to>
    <xdr:pic>
      <xdr:nvPicPr>
        <xdr:cNvPr id="54379" name="Image 58" descr="https://www.ebi.ac.uk/chebi/images/invisible_space.gif">
          <a:extLst>
            <a:ext uri="{FF2B5EF4-FFF2-40B4-BE49-F238E27FC236}">
              <a16:creationId xmlns:a16="http://schemas.microsoft.com/office/drawing/2014/main" id="{8BA496D6-7587-49BD-8689-63948FC50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7325" y="16666273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0</xdr:colOff>
      <xdr:row>53</xdr:row>
      <xdr:rowOff>0</xdr:rowOff>
    </xdr:to>
    <xdr:pic>
      <xdr:nvPicPr>
        <xdr:cNvPr id="54380" name="Image 59" descr="https://www.ebi.ac.uk/chebi/images/invisible_space.gif">
          <a:extLst>
            <a:ext uri="{FF2B5EF4-FFF2-40B4-BE49-F238E27FC236}">
              <a16:creationId xmlns:a16="http://schemas.microsoft.com/office/drawing/2014/main" id="{22CAE6FC-DEAA-4AB4-A854-65E667E18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0" y="1666608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47625</xdr:colOff>
      <xdr:row>53</xdr:row>
      <xdr:rowOff>0</xdr:rowOff>
    </xdr:from>
    <xdr:to>
      <xdr:col>13</xdr:col>
      <xdr:colOff>47625</xdr:colOff>
      <xdr:row>53</xdr:row>
      <xdr:rowOff>0</xdr:rowOff>
    </xdr:to>
    <xdr:pic>
      <xdr:nvPicPr>
        <xdr:cNvPr id="54381" name="Image 60" descr="https://www.ebi.ac.uk/chebi/images/invisible_space.gif">
          <a:extLst>
            <a:ext uri="{FF2B5EF4-FFF2-40B4-BE49-F238E27FC236}">
              <a16:creationId xmlns:a16="http://schemas.microsoft.com/office/drawing/2014/main" id="{2D0346F7-B5F4-429F-BE97-383F8107F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75" y="1666608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85725</xdr:colOff>
      <xdr:row>53</xdr:row>
      <xdr:rowOff>0</xdr:rowOff>
    </xdr:from>
    <xdr:to>
      <xdr:col>13</xdr:col>
      <xdr:colOff>85725</xdr:colOff>
      <xdr:row>53</xdr:row>
      <xdr:rowOff>0</xdr:rowOff>
    </xdr:to>
    <xdr:pic>
      <xdr:nvPicPr>
        <xdr:cNvPr id="54382" name="Image 61" descr="https://www.ebi.ac.uk/chebi/images/invisible_space.gif">
          <a:extLst>
            <a:ext uri="{FF2B5EF4-FFF2-40B4-BE49-F238E27FC236}">
              <a16:creationId xmlns:a16="http://schemas.microsoft.com/office/drawing/2014/main" id="{C4857DCB-EE41-4724-90A2-0EFCDF55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9475" y="1666608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114300</xdr:colOff>
      <xdr:row>53</xdr:row>
      <xdr:rowOff>0</xdr:rowOff>
    </xdr:from>
    <xdr:to>
      <xdr:col>13</xdr:col>
      <xdr:colOff>123825</xdr:colOff>
      <xdr:row>53</xdr:row>
      <xdr:rowOff>0</xdr:rowOff>
    </xdr:to>
    <xdr:pic>
      <xdr:nvPicPr>
        <xdr:cNvPr id="54383" name="Image 62" descr="https://www.ebi.ac.uk/chebi/images/invisible_space.gif">
          <a:extLst>
            <a:ext uri="{FF2B5EF4-FFF2-40B4-BE49-F238E27FC236}">
              <a16:creationId xmlns:a16="http://schemas.microsoft.com/office/drawing/2014/main" id="{E14612AE-967D-48B5-BD4E-F1EB417BD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8050" y="16666083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171450</xdr:colOff>
      <xdr:row>53</xdr:row>
      <xdr:rowOff>0</xdr:rowOff>
    </xdr:from>
    <xdr:to>
      <xdr:col>13</xdr:col>
      <xdr:colOff>171450</xdr:colOff>
      <xdr:row>53</xdr:row>
      <xdr:rowOff>0</xdr:rowOff>
    </xdr:to>
    <xdr:pic>
      <xdr:nvPicPr>
        <xdr:cNvPr id="54384" name="Image 63" descr="https://www.ebi.ac.uk/chebi/images/invisible_space.gif">
          <a:extLst>
            <a:ext uri="{FF2B5EF4-FFF2-40B4-BE49-F238E27FC236}">
              <a16:creationId xmlns:a16="http://schemas.microsoft.com/office/drawing/2014/main" id="{7C537F85-C9A9-4004-AA20-84A963F5D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5200" y="1666608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190500</xdr:colOff>
      <xdr:row>53</xdr:row>
      <xdr:rowOff>0</xdr:rowOff>
    </xdr:from>
    <xdr:to>
      <xdr:col>13</xdr:col>
      <xdr:colOff>200025</xdr:colOff>
      <xdr:row>53</xdr:row>
      <xdr:rowOff>0</xdr:rowOff>
    </xdr:to>
    <xdr:pic>
      <xdr:nvPicPr>
        <xdr:cNvPr id="54385" name="Image 64" descr="https://www.ebi.ac.uk/chebi/images/invisible_space.gif">
          <a:extLst>
            <a:ext uri="{FF2B5EF4-FFF2-40B4-BE49-F238E27FC236}">
              <a16:creationId xmlns:a16="http://schemas.microsoft.com/office/drawing/2014/main" id="{9092CBF7-76C5-4FC8-BDBC-85377FFD1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6666083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247650</xdr:colOff>
      <xdr:row>53</xdr:row>
      <xdr:rowOff>0</xdr:rowOff>
    </xdr:from>
    <xdr:to>
      <xdr:col>13</xdr:col>
      <xdr:colOff>257175</xdr:colOff>
      <xdr:row>53</xdr:row>
      <xdr:rowOff>0</xdr:rowOff>
    </xdr:to>
    <xdr:pic>
      <xdr:nvPicPr>
        <xdr:cNvPr id="54386" name="Image 65" descr="https://www.ebi.ac.uk/chebi/images/invisible_space.gif">
          <a:extLst>
            <a:ext uri="{FF2B5EF4-FFF2-40B4-BE49-F238E27FC236}">
              <a16:creationId xmlns:a16="http://schemas.microsoft.com/office/drawing/2014/main" id="{C7AF3020-B96A-4039-AD82-648863068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1400" y="16666083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276225</xdr:colOff>
      <xdr:row>53</xdr:row>
      <xdr:rowOff>0</xdr:rowOff>
    </xdr:from>
    <xdr:to>
      <xdr:col>13</xdr:col>
      <xdr:colOff>276225</xdr:colOff>
      <xdr:row>53</xdr:row>
      <xdr:rowOff>0</xdr:rowOff>
    </xdr:to>
    <xdr:pic>
      <xdr:nvPicPr>
        <xdr:cNvPr id="54387" name="Image 66" descr="https://www.ebi.ac.uk/chebi/images/invisible_space.gif">
          <a:extLst>
            <a:ext uri="{FF2B5EF4-FFF2-40B4-BE49-F238E27FC236}">
              <a16:creationId xmlns:a16="http://schemas.microsoft.com/office/drawing/2014/main" id="{EFFF1A74-9FEC-42EA-BFF2-BC0942282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9975" y="1666608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333375</xdr:colOff>
      <xdr:row>53</xdr:row>
      <xdr:rowOff>0</xdr:rowOff>
    </xdr:from>
    <xdr:to>
      <xdr:col>13</xdr:col>
      <xdr:colOff>342900</xdr:colOff>
      <xdr:row>53</xdr:row>
      <xdr:rowOff>0</xdr:rowOff>
    </xdr:to>
    <xdr:pic>
      <xdr:nvPicPr>
        <xdr:cNvPr id="54388" name="Image 67" descr="https://www.ebi.ac.uk/chebi/images/invisible_space.gif">
          <a:extLst>
            <a:ext uri="{FF2B5EF4-FFF2-40B4-BE49-F238E27FC236}">
              <a16:creationId xmlns:a16="http://schemas.microsoft.com/office/drawing/2014/main" id="{5B0A6DD5-260D-47EB-BCB8-41C46B7A7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7125" y="16666083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352425</xdr:colOff>
      <xdr:row>53</xdr:row>
      <xdr:rowOff>0</xdr:rowOff>
    </xdr:from>
    <xdr:to>
      <xdr:col>13</xdr:col>
      <xdr:colOff>352425</xdr:colOff>
      <xdr:row>53</xdr:row>
      <xdr:rowOff>0</xdr:rowOff>
    </xdr:to>
    <xdr:pic>
      <xdr:nvPicPr>
        <xdr:cNvPr id="54389" name="Image 68" descr="https://www.ebi.ac.uk/chebi/images/invisible_space.gif">
          <a:extLst>
            <a:ext uri="{FF2B5EF4-FFF2-40B4-BE49-F238E27FC236}">
              <a16:creationId xmlns:a16="http://schemas.microsoft.com/office/drawing/2014/main" id="{2A0B84CE-BEFB-4BBB-B36D-F93551925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6175" y="1666608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400050</xdr:colOff>
      <xdr:row>53</xdr:row>
      <xdr:rowOff>0</xdr:rowOff>
    </xdr:from>
    <xdr:to>
      <xdr:col>13</xdr:col>
      <xdr:colOff>400050</xdr:colOff>
      <xdr:row>53</xdr:row>
      <xdr:rowOff>0</xdr:rowOff>
    </xdr:to>
    <xdr:pic>
      <xdr:nvPicPr>
        <xdr:cNvPr id="54390" name="Image 69" descr="https://www.ebi.ac.uk/chebi/images/invisible_space.gif">
          <a:extLst>
            <a:ext uri="{FF2B5EF4-FFF2-40B4-BE49-F238E27FC236}">
              <a16:creationId xmlns:a16="http://schemas.microsoft.com/office/drawing/2014/main" id="{2AAEDC69-F83A-4EBB-98B8-D0993E045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1666608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457200</xdr:colOff>
      <xdr:row>53</xdr:row>
      <xdr:rowOff>0</xdr:rowOff>
    </xdr:from>
    <xdr:to>
      <xdr:col>13</xdr:col>
      <xdr:colOff>485775</xdr:colOff>
      <xdr:row>53</xdr:row>
      <xdr:rowOff>0</xdr:rowOff>
    </xdr:to>
    <xdr:pic>
      <xdr:nvPicPr>
        <xdr:cNvPr id="54391" name="Image 70" descr="https://www.ebi.ac.uk/chebi/images/invisible_space.gif">
          <a:extLst>
            <a:ext uri="{FF2B5EF4-FFF2-40B4-BE49-F238E27FC236}">
              <a16:creationId xmlns:a16="http://schemas.microsoft.com/office/drawing/2014/main" id="{8D85D6DA-2E41-482B-98D4-0D0844E64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0950" y="1666608300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476250</xdr:colOff>
      <xdr:row>53</xdr:row>
      <xdr:rowOff>0</xdr:rowOff>
    </xdr:from>
    <xdr:to>
      <xdr:col>13</xdr:col>
      <xdr:colOff>485775</xdr:colOff>
      <xdr:row>53</xdr:row>
      <xdr:rowOff>0</xdr:rowOff>
    </xdr:to>
    <xdr:pic>
      <xdr:nvPicPr>
        <xdr:cNvPr id="54392" name="Image 71" descr="https://www.ebi.ac.uk/chebi/images/invisible_space.gif">
          <a:extLst>
            <a:ext uri="{FF2B5EF4-FFF2-40B4-BE49-F238E27FC236}">
              <a16:creationId xmlns:a16="http://schemas.microsoft.com/office/drawing/2014/main" id="{474B3744-82C1-4126-B602-2DA9538E0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0" y="16666083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36</xdr:col>
      <xdr:colOff>923925</xdr:colOff>
      <xdr:row>53</xdr:row>
      <xdr:rowOff>0</xdr:rowOff>
    </xdr:from>
    <xdr:to>
      <xdr:col>36</xdr:col>
      <xdr:colOff>942975</xdr:colOff>
      <xdr:row>53</xdr:row>
      <xdr:rowOff>0</xdr:rowOff>
    </xdr:to>
    <xdr:pic>
      <xdr:nvPicPr>
        <xdr:cNvPr id="54393" name="Image 72" descr="https://www.ebi.ac.uk/chebi/images/invisible_space.gif">
          <a:extLst>
            <a:ext uri="{FF2B5EF4-FFF2-40B4-BE49-F238E27FC236}">
              <a16:creationId xmlns:a16="http://schemas.microsoft.com/office/drawing/2014/main" id="{2FFFB5B7-A3F5-4BA4-8621-A29E4948D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22375" y="5803582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571500</xdr:colOff>
      <xdr:row>53</xdr:row>
      <xdr:rowOff>0</xdr:rowOff>
    </xdr:from>
    <xdr:to>
      <xdr:col>13</xdr:col>
      <xdr:colOff>581025</xdr:colOff>
      <xdr:row>53</xdr:row>
      <xdr:rowOff>0</xdr:rowOff>
    </xdr:to>
    <xdr:pic>
      <xdr:nvPicPr>
        <xdr:cNvPr id="54394" name="Image 73" descr="https://www.ebi.ac.uk/chebi/images/invisible_space.gif">
          <a:extLst>
            <a:ext uri="{FF2B5EF4-FFF2-40B4-BE49-F238E27FC236}">
              <a16:creationId xmlns:a16="http://schemas.microsoft.com/office/drawing/2014/main" id="{16607CAA-A275-4362-AEFF-81C60DD2D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0" y="16666083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609600</xdr:colOff>
      <xdr:row>53</xdr:row>
      <xdr:rowOff>0</xdr:rowOff>
    </xdr:from>
    <xdr:to>
      <xdr:col>13</xdr:col>
      <xdr:colOff>619125</xdr:colOff>
      <xdr:row>53</xdr:row>
      <xdr:rowOff>0</xdr:rowOff>
    </xdr:to>
    <xdr:pic>
      <xdr:nvPicPr>
        <xdr:cNvPr id="54395" name="Image 74" descr="https://www.ebi.ac.uk/chebi/images/invisible_space.gif">
          <a:extLst>
            <a:ext uri="{FF2B5EF4-FFF2-40B4-BE49-F238E27FC236}">
              <a16:creationId xmlns:a16="http://schemas.microsoft.com/office/drawing/2014/main" id="{4DB9A2B3-97F4-4F29-944B-2D4F7115E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3350" y="16666083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628650</xdr:colOff>
      <xdr:row>53</xdr:row>
      <xdr:rowOff>0</xdr:rowOff>
    </xdr:from>
    <xdr:to>
      <xdr:col>13</xdr:col>
      <xdr:colOff>628650</xdr:colOff>
      <xdr:row>53</xdr:row>
      <xdr:rowOff>0</xdr:rowOff>
    </xdr:to>
    <xdr:pic>
      <xdr:nvPicPr>
        <xdr:cNvPr id="54396" name="Image 75" descr="https://www.ebi.ac.uk/chebi/images/invisible_space.gif">
          <a:extLst>
            <a:ext uri="{FF2B5EF4-FFF2-40B4-BE49-F238E27FC236}">
              <a16:creationId xmlns:a16="http://schemas.microsoft.com/office/drawing/2014/main" id="{44412B77-1D10-4F41-9A0D-C5AA8267E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1666608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676275</xdr:colOff>
      <xdr:row>53</xdr:row>
      <xdr:rowOff>0</xdr:rowOff>
    </xdr:from>
    <xdr:to>
      <xdr:col>13</xdr:col>
      <xdr:colOff>676275</xdr:colOff>
      <xdr:row>53</xdr:row>
      <xdr:rowOff>0</xdr:rowOff>
    </xdr:to>
    <xdr:pic>
      <xdr:nvPicPr>
        <xdr:cNvPr id="54397" name="Image 76" descr="https://www.ebi.ac.uk/chebi/images/invisible_space.gif">
          <a:extLst>
            <a:ext uri="{FF2B5EF4-FFF2-40B4-BE49-F238E27FC236}">
              <a16:creationId xmlns:a16="http://schemas.microsoft.com/office/drawing/2014/main" id="{D5E5A115-AA00-472A-8168-A571C914B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1666608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714375</xdr:colOff>
      <xdr:row>53</xdr:row>
      <xdr:rowOff>0</xdr:rowOff>
    </xdr:from>
    <xdr:to>
      <xdr:col>13</xdr:col>
      <xdr:colOff>723900</xdr:colOff>
      <xdr:row>53</xdr:row>
      <xdr:rowOff>0</xdr:rowOff>
    </xdr:to>
    <xdr:pic>
      <xdr:nvPicPr>
        <xdr:cNvPr id="54398" name="Image 77" descr="https://www.ebi.ac.uk/chebi/images/invisible_space.gif">
          <a:extLst>
            <a:ext uri="{FF2B5EF4-FFF2-40B4-BE49-F238E27FC236}">
              <a16:creationId xmlns:a16="http://schemas.microsoft.com/office/drawing/2014/main" id="{8C5A09C2-C3BC-4A28-B101-ACBFF950F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16666083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752475</xdr:colOff>
      <xdr:row>53</xdr:row>
      <xdr:rowOff>0</xdr:rowOff>
    </xdr:from>
    <xdr:to>
      <xdr:col>13</xdr:col>
      <xdr:colOff>762000</xdr:colOff>
      <xdr:row>53</xdr:row>
      <xdr:rowOff>0</xdr:rowOff>
    </xdr:to>
    <xdr:pic>
      <xdr:nvPicPr>
        <xdr:cNvPr id="54399" name="Image 78" descr="https://www.ebi.ac.uk/chebi/images/invisible_space.gif">
          <a:extLst>
            <a:ext uri="{FF2B5EF4-FFF2-40B4-BE49-F238E27FC236}">
              <a16:creationId xmlns:a16="http://schemas.microsoft.com/office/drawing/2014/main" id="{11E09A1F-1DAC-46B8-8C12-1C6054A42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06225" y="16666083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809625</xdr:colOff>
      <xdr:row>53</xdr:row>
      <xdr:rowOff>0</xdr:rowOff>
    </xdr:from>
    <xdr:to>
      <xdr:col>13</xdr:col>
      <xdr:colOff>819150</xdr:colOff>
      <xdr:row>53</xdr:row>
      <xdr:rowOff>0</xdr:rowOff>
    </xdr:to>
    <xdr:pic>
      <xdr:nvPicPr>
        <xdr:cNvPr id="54400" name="Image 79" descr="https://www.ebi.ac.uk/chebi/images/invisible_space.gif">
          <a:extLst>
            <a:ext uri="{FF2B5EF4-FFF2-40B4-BE49-F238E27FC236}">
              <a16:creationId xmlns:a16="http://schemas.microsoft.com/office/drawing/2014/main" id="{2C92401E-1003-4511-ABAB-911434F22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16666083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828675</xdr:colOff>
      <xdr:row>53</xdr:row>
      <xdr:rowOff>0</xdr:rowOff>
    </xdr:from>
    <xdr:to>
      <xdr:col>13</xdr:col>
      <xdr:colOff>828675</xdr:colOff>
      <xdr:row>53</xdr:row>
      <xdr:rowOff>0</xdr:rowOff>
    </xdr:to>
    <xdr:pic>
      <xdr:nvPicPr>
        <xdr:cNvPr id="54401" name="Image 80" descr="https://www.ebi.ac.uk/chebi/images/invisible_space.gif">
          <a:extLst>
            <a:ext uri="{FF2B5EF4-FFF2-40B4-BE49-F238E27FC236}">
              <a16:creationId xmlns:a16="http://schemas.microsoft.com/office/drawing/2014/main" id="{E16620FD-7C5B-4EC2-8B14-393AF4EE6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82425" y="1666608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866775</xdr:colOff>
      <xdr:row>53</xdr:row>
      <xdr:rowOff>0</xdr:rowOff>
    </xdr:from>
    <xdr:to>
      <xdr:col>13</xdr:col>
      <xdr:colOff>866775</xdr:colOff>
      <xdr:row>53</xdr:row>
      <xdr:rowOff>0</xdr:rowOff>
    </xdr:to>
    <xdr:pic>
      <xdr:nvPicPr>
        <xdr:cNvPr id="54402" name="Image 81" descr="https://www.ebi.ac.uk/chebi/images/invisible_space.gif">
          <a:extLst>
            <a:ext uri="{FF2B5EF4-FFF2-40B4-BE49-F238E27FC236}">
              <a16:creationId xmlns:a16="http://schemas.microsoft.com/office/drawing/2014/main" id="{BEFE4007-A122-4DDA-94CC-590F6E31B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0525" y="1666608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914400</xdr:colOff>
      <xdr:row>53</xdr:row>
      <xdr:rowOff>0</xdr:rowOff>
    </xdr:from>
    <xdr:to>
      <xdr:col>13</xdr:col>
      <xdr:colOff>914400</xdr:colOff>
      <xdr:row>53</xdr:row>
      <xdr:rowOff>0</xdr:rowOff>
    </xdr:to>
    <xdr:pic>
      <xdr:nvPicPr>
        <xdr:cNvPr id="54403" name="Image 82" descr="https://www.ebi.ac.uk/chebi/images/invisible_space.gif">
          <a:extLst>
            <a:ext uri="{FF2B5EF4-FFF2-40B4-BE49-F238E27FC236}">
              <a16:creationId xmlns:a16="http://schemas.microsoft.com/office/drawing/2014/main" id="{88E3D40C-AE55-409B-8AB5-2DD344C33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8150" y="1666608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1009650</xdr:colOff>
      <xdr:row>53</xdr:row>
      <xdr:rowOff>0</xdr:rowOff>
    </xdr:from>
    <xdr:to>
      <xdr:col>13</xdr:col>
      <xdr:colOff>1019175</xdr:colOff>
      <xdr:row>53</xdr:row>
      <xdr:rowOff>0</xdr:rowOff>
    </xdr:to>
    <xdr:pic>
      <xdr:nvPicPr>
        <xdr:cNvPr id="54404" name="Image 84" descr="https://www.ebi.ac.uk/chebi/images/invisible_space.gif">
          <a:extLst>
            <a:ext uri="{FF2B5EF4-FFF2-40B4-BE49-F238E27FC236}">
              <a16:creationId xmlns:a16="http://schemas.microsoft.com/office/drawing/2014/main" id="{B2ADE458-68AF-49AD-B6B8-4FCE23FAE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3400" y="16666083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1047750</xdr:colOff>
      <xdr:row>53</xdr:row>
      <xdr:rowOff>0</xdr:rowOff>
    </xdr:from>
    <xdr:to>
      <xdr:col>14</xdr:col>
      <xdr:colOff>0</xdr:colOff>
      <xdr:row>53</xdr:row>
      <xdr:rowOff>0</xdr:rowOff>
    </xdr:to>
    <xdr:pic>
      <xdr:nvPicPr>
        <xdr:cNvPr id="54405" name="Image 85" descr="https://www.ebi.ac.uk/chebi/images/invisible_space.gif">
          <a:extLst>
            <a:ext uri="{FF2B5EF4-FFF2-40B4-BE49-F238E27FC236}">
              <a16:creationId xmlns:a16="http://schemas.microsoft.com/office/drawing/2014/main" id="{69AF1279-2456-46DB-9C55-8F33324AB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1666608300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1076325</xdr:colOff>
      <xdr:row>53</xdr:row>
      <xdr:rowOff>0</xdr:rowOff>
    </xdr:from>
    <xdr:to>
      <xdr:col>14</xdr:col>
      <xdr:colOff>19050</xdr:colOff>
      <xdr:row>53</xdr:row>
      <xdr:rowOff>0</xdr:rowOff>
    </xdr:to>
    <xdr:pic>
      <xdr:nvPicPr>
        <xdr:cNvPr id="54406" name="Image 86" descr="https://www.ebi.ac.uk/chebi/images/invisible_space.gif">
          <a:extLst>
            <a:ext uri="{FF2B5EF4-FFF2-40B4-BE49-F238E27FC236}">
              <a16:creationId xmlns:a16="http://schemas.microsoft.com/office/drawing/2014/main" id="{2E4D6CB0-8B9B-49E5-AE79-C40F95BA6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0075" y="1666608300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1123950</xdr:colOff>
      <xdr:row>53</xdr:row>
      <xdr:rowOff>0</xdr:rowOff>
    </xdr:from>
    <xdr:to>
      <xdr:col>14</xdr:col>
      <xdr:colOff>3810</xdr:colOff>
      <xdr:row>53</xdr:row>
      <xdr:rowOff>0</xdr:rowOff>
    </xdr:to>
    <xdr:pic>
      <xdr:nvPicPr>
        <xdr:cNvPr id="54407" name="Image 87" descr="https://www.ebi.ac.uk/chebi/images/invisible_space.gif">
          <a:extLst>
            <a:ext uri="{FF2B5EF4-FFF2-40B4-BE49-F238E27FC236}">
              <a16:creationId xmlns:a16="http://schemas.microsoft.com/office/drawing/2014/main" id="{1330B117-A1BE-4410-B6E0-9305FF04B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7700" y="16666083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571500</xdr:colOff>
      <xdr:row>53</xdr:row>
      <xdr:rowOff>0</xdr:rowOff>
    </xdr:from>
    <xdr:to>
      <xdr:col>19</xdr:col>
      <xdr:colOff>581025</xdr:colOff>
      <xdr:row>53</xdr:row>
      <xdr:rowOff>0</xdr:rowOff>
    </xdr:to>
    <xdr:pic>
      <xdr:nvPicPr>
        <xdr:cNvPr id="54408" name="Image 58" descr="https://www.ebi.ac.uk/chebi/images/invisible_space.gif">
          <a:extLst>
            <a:ext uri="{FF2B5EF4-FFF2-40B4-BE49-F238E27FC236}">
              <a16:creationId xmlns:a16="http://schemas.microsoft.com/office/drawing/2014/main" id="{A2991D59-D6C6-4B95-A90B-E4AE164F6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7325" y="166678927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571500</xdr:colOff>
      <xdr:row>53</xdr:row>
      <xdr:rowOff>0</xdr:rowOff>
    </xdr:from>
    <xdr:to>
      <xdr:col>19</xdr:col>
      <xdr:colOff>581025</xdr:colOff>
      <xdr:row>53</xdr:row>
      <xdr:rowOff>0</xdr:rowOff>
    </xdr:to>
    <xdr:pic>
      <xdr:nvPicPr>
        <xdr:cNvPr id="54409" name="Image 58" descr="https://www.ebi.ac.uk/chebi/images/invisible_space.gif">
          <a:extLst>
            <a:ext uri="{FF2B5EF4-FFF2-40B4-BE49-F238E27FC236}">
              <a16:creationId xmlns:a16="http://schemas.microsoft.com/office/drawing/2014/main" id="{F812D95E-AE5A-4272-9BD1-3790989B0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7325" y="166678927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571500</xdr:colOff>
      <xdr:row>53</xdr:row>
      <xdr:rowOff>0</xdr:rowOff>
    </xdr:from>
    <xdr:to>
      <xdr:col>19</xdr:col>
      <xdr:colOff>581025</xdr:colOff>
      <xdr:row>53</xdr:row>
      <xdr:rowOff>0</xdr:rowOff>
    </xdr:to>
    <xdr:pic>
      <xdr:nvPicPr>
        <xdr:cNvPr id="54410" name="Image 58" descr="https://www.ebi.ac.uk/chebi/images/invisible_space.gif">
          <a:extLst>
            <a:ext uri="{FF2B5EF4-FFF2-40B4-BE49-F238E27FC236}">
              <a16:creationId xmlns:a16="http://schemas.microsoft.com/office/drawing/2014/main" id="{012B2C9F-05A4-4435-B7FA-A0CCBD645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7325" y="2790158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571500</xdr:colOff>
      <xdr:row>53</xdr:row>
      <xdr:rowOff>0</xdr:rowOff>
    </xdr:from>
    <xdr:to>
      <xdr:col>19</xdr:col>
      <xdr:colOff>581025</xdr:colOff>
      <xdr:row>53</xdr:row>
      <xdr:rowOff>0</xdr:rowOff>
    </xdr:to>
    <xdr:pic>
      <xdr:nvPicPr>
        <xdr:cNvPr id="54411" name="Image 58" descr="https://www.ebi.ac.uk/chebi/images/invisible_space.gif">
          <a:extLst>
            <a:ext uri="{FF2B5EF4-FFF2-40B4-BE49-F238E27FC236}">
              <a16:creationId xmlns:a16="http://schemas.microsoft.com/office/drawing/2014/main" id="{3A4FD16B-0FAC-4D2F-B554-079D0A434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7325" y="2790158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571500</xdr:colOff>
      <xdr:row>53</xdr:row>
      <xdr:rowOff>0</xdr:rowOff>
    </xdr:from>
    <xdr:to>
      <xdr:col>19</xdr:col>
      <xdr:colOff>581025</xdr:colOff>
      <xdr:row>53</xdr:row>
      <xdr:rowOff>0</xdr:rowOff>
    </xdr:to>
    <xdr:pic>
      <xdr:nvPicPr>
        <xdr:cNvPr id="54412" name="Image 58" descr="https://www.ebi.ac.uk/chebi/images/invisible_space.gif">
          <a:extLst>
            <a:ext uri="{FF2B5EF4-FFF2-40B4-BE49-F238E27FC236}">
              <a16:creationId xmlns:a16="http://schemas.microsoft.com/office/drawing/2014/main" id="{C3F9A319-B24C-4AC9-836F-1336D89F7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7325" y="2791777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571500</xdr:colOff>
      <xdr:row>53</xdr:row>
      <xdr:rowOff>0</xdr:rowOff>
    </xdr:from>
    <xdr:to>
      <xdr:col>19</xdr:col>
      <xdr:colOff>581025</xdr:colOff>
      <xdr:row>53</xdr:row>
      <xdr:rowOff>0</xdr:rowOff>
    </xdr:to>
    <xdr:pic>
      <xdr:nvPicPr>
        <xdr:cNvPr id="54413" name="Image 58" descr="https://www.ebi.ac.uk/chebi/images/invisible_space.gif">
          <a:extLst>
            <a:ext uri="{FF2B5EF4-FFF2-40B4-BE49-F238E27FC236}">
              <a16:creationId xmlns:a16="http://schemas.microsoft.com/office/drawing/2014/main" id="{B834EDB5-442B-4CAA-AE1A-68836A666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7325" y="2791777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571500</xdr:colOff>
      <xdr:row>53</xdr:row>
      <xdr:rowOff>0</xdr:rowOff>
    </xdr:from>
    <xdr:to>
      <xdr:col>19</xdr:col>
      <xdr:colOff>581025</xdr:colOff>
      <xdr:row>53</xdr:row>
      <xdr:rowOff>0</xdr:rowOff>
    </xdr:to>
    <xdr:pic>
      <xdr:nvPicPr>
        <xdr:cNvPr id="54414" name="Image 58" descr="https://www.ebi.ac.uk/chebi/images/invisible_space.gif">
          <a:extLst>
            <a:ext uri="{FF2B5EF4-FFF2-40B4-BE49-F238E27FC236}">
              <a16:creationId xmlns:a16="http://schemas.microsoft.com/office/drawing/2014/main" id="{C474543C-E315-4F30-AC95-F950C3949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7325" y="14706981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0</xdr:colOff>
      <xdr:row>53</xdr:row>
      <xdr:rowOff>0</xdr:rowOff>
    </xdr:to>
    <xdr:pic>
      <xdr:nvPicPr>
        <xdr:cNvPr id="87" name="Image 1" descr="https://www.ebi.ac.uk/chebi/images/invisible_space.gif">
          <a:extLst>
            <a:ext uri="{FF2B5EF4-FFF2-40B4-BE49-F238E27FC236}">
              <a16:creationId xmlns:a16="http://schemas.microsoft.com/office/drawing/2014/main" id="{95061A32-BC23-477B-AF6A-6C483790D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0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47625</xdr:colOff>
      <xdr:row>53</xdr:row>
      <xdr:rowOff>0</xdr:rowOff>
    </xdr:from>
    <xdr:to>
      <xdr:col>13</xdr:col>
      <xdr:colOff>47625</xdr:colOff>
      <xdr:row>53</xdr:row>
      <xdr:rowOff>0</xdr:rowOff>
    </xdr:to>
    <xdr:pic>
      <xdr:nvPicPr>
        <xdr:cNvPr id="88" name="Image 2" descr="https://www.ebi.ac.uk/chebi/images/invisible_space.gif">
          <a:extLst>
            <a:ext uri="{FF2B5EF4-FFF2-40B4-BE49-F238E27FC236}">
              <a16:creationId xmlns:a16="http://schemas.microsoft.com/office/drawing/2014/main" id="{0F346455-A0EA-47FB-A4C1-E299A11E0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75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85725</xdr:colOff>
      <xdr:row>53</xdr:row>
      <xdr:rowOff>0</xdr:rowOff>
    </xdr:from>
    <xdr:to>
      <xdr:col>13</xdr:col>
      <xdr:colOff>85725</xdr:colOff>
      <xdr:row>53</xdr:row>
      <xdr:rowOff>0</xdr:rowOff>
    </xdr:to>
    <xdr:pic>
      <xdr:nvPicPr>
        <xdr:cNvPr id="89" name="Image 3" descr="https://www.ebi.ac.uk/chebi/images/invisible_space.gif">
          <a:extLst>
            <a:ext uri="{FF2B5EF4-FFF2-40B4-BE49-F238E27FC236}">
              <a16:creationId xmlns:a16="http://schemas.microsoft.com/office/drawing/2014/main" id="{FE9099F5-BBE2-4FC3-9482-773B795BA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9475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114300</xdr:colOff>
      <xdr:row>53</xdr:row>
      <xdr:rowOff>0</xdr:rowOff>
    </xdr:from>
    <xdr:to>
      <xdr:col>13</xdr:col>
      <xdr:colOff>123825</xdr:colOff>
      <xdr:row>53</xdr:row>
      <xdr:rowOff>0</xdr:rowOff>
    </xdr:to>
    <xdr:pic>
      <xdr:nvPicPr>
        <xdr:cNvPr id="90" name="Image 4" descr="https://www.ebi.ac.uk/chebi/images/invisible_space.gif">
          <a:extLst>
            <a:ext uri="{FF2B5EF4-FFF2-40B4-BE49-F238E27FC236}">
              <a16:creationId xmlns:a16="http://schemas.microsoft.com/office/drawing/2014/main" id="{3B60BD88-4664-48E8-A132-86FAFBDF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8050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171450</xdr:colOff>
      <xdr:row>53</xdr:row>
      <xdr:rowOff>0</xdr:rowOff>
    </xdr:from>
    <xdr:to>
      <xdr:col>13</xdr:col>
      <xdr:colOff>171450</xdr:colOff>
      <xdr:row>53</xdr:row>
      <xdr:rowOff>0</xdr:rowOff>
    </xdr:to>
    <xdr:pic>
      <xdr:nvPicPr>
        <xdr:cNvPr id="91" name="Image 5" descr="https://www.ebi.ac.uk/chebi/images/invisible_space.gif">
          <a:extLst>
            <a:ext uri="{FF2B5EF4-FFF2-40B4-BE49-F238E27FC236}">
              <a16:creationId xmlns:a16="http://schemas.microsoft.com/office/drawing/2014/main" id="{A0F08277-4001-44C5-A384-E519F0A32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5200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190500</xdr:colOff>
      <xdr:row>53</xdr:row>
      <xdr:rowOff>0</xdr:rowOff>
    </xdr:from>
    <xdr:to>
      <xdr:col>13</xdr:col>
      <xdr:colOff>200025</xdr:colOff>
      <xdr:row>53</xdr:row>
      <xdr:rowOff>0</xdr:rowOff>
    </xdr:to>
    <xdr:pic>
      <xdr:nvPicPr>
        <xdr:cNvPr id="92" name="Image 6" descr="https://www.ebi.ac.uk/chebi/images/invisible_space.gif">
          <a:extLst>
            <a:ext uri="{FF2B5EF4-FFF2-40B4-BE49-F238E27FC236}">
              <a16:creationId xmlns:a16="http://schemas.microsoft.com/office/drawing/2014/main" id="{CF1F498C-84FB-49E7-B2C5-B8857531D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247650</xdr:colOff>
      <xdr:row>53</xdr:row>
      <xdr:rowOff>0</xdr:rowOff>
    </xdr:from>
    <xdr:to>
      <xdr:col>13</xdr:col>
      <xdr:colOff>257175</xdr:colOff>
      <xdr:row>53</xdr:row>
      <xdr:rowOff>0</xdr:rowOff>
    </xdr:to>
    <xdr:pic>
      <xdr:nvPicPr>
        <xdr:cNvPr id="93" name="Image 7" descr="https://www.ebi.ac.uk/chebi/images/invisible_space.gif">
          <a:extLst>
            <a:ext uri="{FF2B5EF4-FFF2-40B4-BE49-F238E27FC236}">
              <a16:creationId xmlns:a16="http://schemas.microsoft.com/office/drawing/2014/main" id="{C2AEF841-CD73-46B8-B8B5-FA7C4D48C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1400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276225</xdr:colOff>
      <xdr:row>53</xdr:row>
      <xdr:rowOff>0</xdr:rowOff>
    </xdr:from>
    <xdr:to>
      <xdr:col>13</xdr:col>
      <xdr:colOff>276225</xdr:colOff>
      <xdr:row>53</xdr:row>
      <xdr:rowOff>0</xdr:rowOff>
    </xdr:to>
    <xdr:pic>
      <xdr:nvPicPr>
        <xdr:cNvPr id="94" name="Image 8" descr="https://www.ebi.ac.uk/chebi/images/invisible_space.gif">
          <a:extLst>
            <a:ext uri="{FF2B5EF4-FFF2-40B4-BE49-F238E27FC236}">
              <a16:creationId xmlns:a16="http://schemas.microsoft.com/office/drawing/2014/main" id="{89B2EF8F-220E-4758-97FE-264B8FBC7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9975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333375</xdr:colOff>
      <xdr:row>53</xdr:row>
      <xdr:rowOff>0</xdr:rowOff>
    </xdr:from>
    <xdr:to>
      <xdr:col>13</xdr:col>
      <xdr:colOff>342900</xdr:colOff>
      <xdr:row>53</xdr:row>
      <xdr:rowOff>0</xdr:rowOff>
    </xdr:to>
    <xdr:pic>
      <xdr:nvPicPr>
        <xdr:cNvPr id="95" name="Image 9" descr="https://www.ebi.ac.uk/chebi/images/invisible_space.gif">
          <a:extLst>
            <a:ext uri="{FF2B5EF4-FFF2-40B4-BE49-F238E27FC236}">
              <a16:creationId xmlns:a16="http://schemas.microsoft.com/office/drawing/2014/main" id="{2DD54147-B187-448E-84DF-A453F6EEA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7125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352425</xdr:colOff>
      <xdr:row>53</xdr:row>
      <xdr:rowOff>0</xdr:rowOff>
    </xdr:from>
    <xdr:to>
      <xdr:col>13</xdr:col>
      <xdr:colOff>352425</xdr:colOff>
      <xdr:row>53</xdr:row>
      <xdr:rowOff>0</xdr:rowOff>
    </xdr:to>
    <xdr:pic>
      <xdr:nvPicPr>
        <xdr:cNvPr id="96" name="Image 10" descr="https://www.ebi.ac.uk/chebi/images/invisible_space.gif">
          <a:extLst>
            <a:ext uri="{FF2B5EF4-FFF2-40B4-BE49-F238E27FC236}">
              <a16:creationId xmlns:a16="http://schemas.microsoft.com/office/drawing/2014/main" id="{FF5AB589-F4FF-4140-8FD3-F742571F0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6175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400050</xdr:colOff>
      <xdr:row>53</xdr:row>
      <xdr:rowOff>0</xdr:rowOff>
    </xdr:from>
    <xdr:to>
      <xdr:col>13</xdr:col>
      <xdr:colOff>400050</xdr:colOff>
      <xdr:row>53</xdr:row>
      <xdr:rowOff>0</xdr:rowOff>
    </xdr:to>
    <xdr:pic>
      <xdr:nvPicPr>
        <xdr:cNvPr id="97" name="Image 11" descr="https://www.ebi.ac.uk/chebi/images/invisible_space.gif">
          <a:extLst>
            <a:ext uri="{FF2B5EF4-FFF2-40B4-BE49-F238E27FC236}">
              <a16:creationId xmlns:a16="http://schemas.microsoft.com/office/drawing/2014/main" id="{2C450342-C2CD-488B-B057-86095EE8E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457200</xdr:colOff>
      <xdr:row>53</xdr:row>
      <xdr:rowOff>0</xdr:rowOff>
    </xdr:from>
    <xdr:to>
      <xdr:col>13</xdr:col>
      <xdr:colOff>485775</xdr:colOff>
      <xdr:row>53</xdr:row>
      <xdr:rowOff>0</xdr:rowOff>
    </xdr:to>
    <xdr:pic>
      <xdr:nvPicPr>
        <xdr:cNvPr id="98" name="Image 12" descr="https://www.ebi.ac.uk/chebi/images/invisible_space.gif">
          <a:extLst>
            <a:ext uri="{FF2B5EF4-FFF2-40B4-BE49-F238E27FC236}">
              <a16:creationId xmlns:a16="http://schemas.microsoft.com/office/drawing/2014/main" id="{38A58AF7-9FEF-4E58-AB25-DD8D820BE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0950" y="6638925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476250</xdr:colOff>
      <xdr:row>53</xdr:row>
      <xdr:rowOff>0</xdr:rowOff>
    </xdr:from>
    <xdr:to>
      <xdr:col>13</xdr:col>
      <xdr:colOff>485775</xdr:colOff>
      <xdr:row>53</xdr:row>
      <xdr:rowOff>0</xdr:rowOff>
    </xdr:to>
    <xdr:pic>
      <xdr:nvPicPr>
        <xdr:cNvPr id="99" name="Image 13" descr="https://www.ebi.ac.uk/chebi/images/invisible_space.gif">
          <a:extLst>
            <a:ext uri="{FF2B5EF4-FFF2-40B4-BE49-F238E27FC236}">
              <a16:creationId xmlns:a16="http://schemas.microsoft.com/office/drawing/2014/main" id="{FAE89C32-2215-4FDF-984E-0B01D0CBB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0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523875</xdr:colOff>
      <xdr:row>53</xdr:row>
      <xdr:rowOff>0</xdr:rowOff>
    </xdr:from>
    <xdr:to>
      <xdr:col>13</xdr:col>
      <xdr:colOff>571500</xdr:colOff>
      <xdr:row>53</xdr:row>
      <xdr:rowOff>0</xdr:rowOff>
    </xdr:to>
    <xdr:pic>
      <xdr:nvPicPr>
        <xdr:cNvPr id="100" name="Image 14" descr="https://www.ebi.ac.uk/chebi/images/invisible_space.gif">
          <a:extLst>
            <a:ext uri="{FF2B5EF4-FFF2-40B4-BE49-F238E27FC236}">
              <a16:creationId xmlns:a16="http://schemas.microsoft.com/office/drawing/2014/main" id="{B63ED069-8931-4CCE-AE27-543B5740C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7625" y="6638925"/>
          <a:ext cx="47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571500</xdr:colOff>
      <xdr:row>53</xdr:row>
      <xdr:rowOff>0</xdr:rowOff>
    </xdr:from>
    <xdr:to>
      <xdr:col>13</xdr:col>
      <xdr:colOff>581025</xdr:colOff>
      <xdr:row>53</xdr:row>
      <xdr:rowOff>0</xdr:rowOff>
    </xdr:to>
    <xdr:pic>
      <xdr:nvPicPr>
        <xdr:cNvPr id="101" name="Image 15" descr="https://www.ebi.ac.uk/chebi/images/invisible_space.gif">
          <a:extLst>
            <a:ext uri="{FF2B5EF4-FFF2-40B4-BE49-F238E27FC236}">
              <a16:creationId xmlns:a16="http://schemas.microsoft.com/office/drawing/2014/main" id="{0ED0C989-9061-4B19-B101-D8BC552A8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0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609600</xdr:colOff>
      <xdr:row>53</xdr:row>
      <xdr:rowOff>0</xdr:rowOff>
    </xdr:from>
    <xdr:to>
      <xdr:col>13</xdr:col>
      <xdr:colOff>619125</xdr:colOff>
      <xdr:row>53</xdr:row>
      <xdr:rowOff>0</xdr:rowOff>
    </xdr:to>
    <xdr:pic>
      <xdr:nvPicPr>
        <xdr:cNvPr id="102" name="Image 16" descr="https://www.ebi.ac.uk/chebi/images/invisible_space.gif">
          <a:extLst>
            <a:ext uri="{FF2B5EF4-FFF2-40B4-BE49-F238E27FC236}">
              <a16:creationId xmlns:a16="http://schemas.microsoft.com/office/drawing/2014/main" id="{C355BC2E-1FDA-47B1-8B58-FBA2D012B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3350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628650</xdr:colOff>
      <xdr:row>53</xdr:row>
      <xdr:rowOff>0</xdr:rowOff>
    </xdr:from>
    <xdr:to>
      <xdr:col>13</xdr:col>
      <xdr:colOff>628650</xdr:colOff>
      <xdr:row>53</xdr:row>
      <xdr:rowOff>0</xdr:rowOff>
    </xdr:to>
    <xdr:pic>
      <xdr:nvPicPr>
        <xdr:cNvPr id="103" name="Image 17" descr="https://www.ebi.ac.uk/chebi/images/invisible_space.gif">
          <a:extLst>
            <a:ext uri="{FF2B5EF4-FFF2-40B4-BE49-F238E27FC236}">
              <a16:creationId xmlns:a16="http://schemas.microsoft.com/office/drawing/2014/main" id="{86387E55-EE6B-4177-A166-35565C74E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676275</xdr:colOff>
      <xdr:row>53</xdr:row>
      <xdr:rowOff>0</xdr:rowOff>
    </xdr:from>
    <xdr:to>
      <xdr:col>13</xdr:col>
      <xdr:colOff>676275</xdr:colOff>
      <xdr:row>53</xdr:row>
      <xdr:rowOff>0</xdr:rowOff>
    </xdr:to>
    <xdr:pic>
      <xdr:nvPicPr>
        <xdr:cNvPr id="104" name="Image 18" descr="https://www.ebi.ac.uk/chebi/images/invisible_space.gif">
          <a:extLst>
            <a:ext uri="{FF2B5EF4-FFF2-40B4-BE49-F238E27FC236}">
              <a16:creationId xmlns:a16="http://schemas.microsoft.com/office/drawing/2014/main" id="{0F687657-1758-43A5-A01B-2CC663567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714375</xdr:colOff>
      <xdr:row>53</xdr:row>
      <xdr:rowOff>0</xdr:rowOff>
    </xdr:from>
    <xdr:to>
      <xdr:col>13</xdr:col>
      <xdr:colOff>723900</xdr:colOff>
      <xdr:row>53</xdr:row>
      <xdr:rowOff>0</xdr:rowOff>
    </xdr:to>
    <xdr:pic>
      <xdr:nvPicPr>
        <xdr:cNvPr id="105" name="Image 19" descr="https://www.ebi.ac.uk/chebi/images/invisible_space.gif">
          <a:extLst>
            <a:ext uri="{FF2B5EF4-FFF2-40B4-BE49-F238E27FC236}">
              <a16:creationId xmlns:a16="http://schemas.microsoft.com/office/drawing/2014/main" id="{A397C9E0-B1E7-44E2-9117-9F7CFAD66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809625</xdr:colOff>
      <xdr:row>53</xdr:row>
      <xdr:rowOff>0</xdr:rowOff>
    </xdr:from>
    <xdr:to>
      <xdr:col>13</xdr:col>
      <xdr:colOff>819150</xdr:colOff>
      <xdr:row>53</xdr:row>
      <xdr:rowOff>0</xdr:rowOff>
    </xdr:to>
    <xdr:pic>
      <xdr:nvPicPr>
        <xdr:cNvPr id="106" name="Image 21" descr="https://www.ebi.ac.uk/chebi/images/invisible_space.gif">
          <a:extLst>
            <a:ext uri="{FF2B5EF4-FFF2-40B4-BE49-F238E27FC236}">
              <a16:creationId xmlns:a16="http://schemas.microsoft.com/office/drawing/2014/main" id="{100E0AA8-3101-47F8-AEA8-3D5AD1AD6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828675</xdr:colOff>
      <xdr:row>53</xdr:row>
      <xdr:rowOff>0</xdr:rowOff>
    </xdr:from>
    <xdr:to>
      <xdr:col>13</xdr:col>
      <xdr:colOff>828675</xdr:colOff>
      <xdr:row>53</xdr:row>
      <xdr:rowOff>0</xdr:rowOff>
    </xdr:to>
    <xdr:pic>
      <xdr:nvPicPr>
        <xdr:cNvPr id="107" name="Image 22" descr="https://www.ebi.ac.uk/chebi/images/invisible_space.gif">
          <a:extLst>
            <a:ext uri="{FF2B5EF4-FFF2-40B4-BE49-F238E27FC236}">
              <a16:creationId xmlns:a16="http://schemas.microsoft.com/office/drawing/2014/main" id="{D175FA4D-D78E-4BF0-903C-80A7DC40B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82425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866775</xdr:colOff>
      <xdr:row>53</xdr:row>
      <xdr:rowOff>0</xdr:rowOff>
    </xdr:from>
    <xdr:to>
      <xdr:col>13</xdr:col>
      <xdr:colOff>866775</xdr:colOff>
      <xdr:row>53</xdr:row>
      <xdr:rowOff>0</xdr:rowOff>
    </xdr:to>
    <xdr:pic>
      <xdr:nvPicPr>
        <xdr:cNvPr id="108" name="Image 23" descr="https://www.ebi.ac.uk/chebi/images/invisible_space.gif">
          <a:extLst>
            <a:ext uri="{FF2B5EF4-FFF2-40B4-BE49-F238E27FC236}">
              <a16:creationId xmlns:a16="http://schemas.microsoft.com/office/drawing/2014/main" id="{14DD5700-3B86-4E87-9D2D-8B848C7DF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0525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914400</xdr:colOff>
      <xdr:row>53</xdr:row>
      <xdr:rowOff>0</xdr:rowOff>
    </xdr:from>
    <xdr:to>
      <xdr:col>13</xdr:col>
      <xdr:colOff>914400</xdr:colOff>
      <xdr:row>53</xdr:row>
      <xdr:rowOff>0</xdr:rowOff>
    </xdr:to>
    <xdr:pic>
      <xdr:nvPicPr>
        <xdr:cNvPr id="109" name="Image 24" descr="https://www.ebi.ac.uk/chebi/images/invisible_space.gif">
          <a:extLst>
            <a:ext uri="{FF2B5EF4-FFF2-40B4-BE49-F238E27FC236}">
              <a16:creationId xmlns:a16="http://schemas.microsoft.com/office/drawing/2014/main" id="{162D63B4-A192-49A1-801B-1B62B4DBE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8150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962025</xdr:colOff>
      <xdr:row>53</xdr:row>
      <xdr:rowOff>0</xdr:rowOff>
    </xdr:from>
    <xdr:to>
      <xdr:col>13</xdr:col>
      <xdr:colOff>962025</xdr:colOff>
      <xdr:row>53</xdr:row>
      <xdr:rowOff>0</xdr:rowOff>
    </xdr:to>
    <xdr:pic>
      <xdr:nvPicPr>
        <xdr:cNvPr id="110" name="Image 25" descr="https://www.ebi.ac.uk/chebi/images/invisible_space.gif">
          <a:extLst>
            <a:ext uri="{FF2B5EF4-FFF2-40B4-BE49-F238E27FC236}">
              <a16:creationId xmlns:a16="http://schemas.microsoft.com/office/drawing/2014/main" id="{C4DE17A8-FE24-4C68-8CCF-F51CD5B7B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15775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1009650</xdr:colOff>
      <xdr:row>53</xdr:row>
      <xdr:rowOff>0</xdr:rowOff>
    </xdr:from>
    <xdr:to>
      <xdr:col>13</xdr:col>
      <xdr:colOff>1019175</xdr:colOff>
      <xdr:row>53</xdr:row>
      <xdr:rowOff>0</xdr:rowOff>
    </xdr:to>
    <xdr:pic>
      <xdr:nvPicPr>
        <xdr:cNvPr id="111" name="Image 26" descr="https://www.ebi.ac.uk/chebi/images/invisible_space.gif">
          <a:extLst>
            <a:ext uri="{FF2B5EF4-FFF2-40B4-BE49-F238E27FC236}">
              <a16:creationId xmlns:a16="http://schemas.microsoft.com/office/drawing/2014/main" id="{9511A278-7800-4942-8BBE-5681C3EB1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3400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1047750</xdr:colOff>
      <xdr:row>53</xdr:row>
      <xdr:rowOff>0</xdr:rowOff>
    </xdr:from>
    <xdr:to>
      <xdr:col>14</xdr:col>
      <xdr:colOff>0</xdr:colOff>
      <xdr:row>53</xdr:row>
      <xdr:rowOff>0</xdr:rowOff>
    </xdr:to>
    <xdr:pic>
      <xdr:nvPicPr>
        <xdr:cNvPr id="112" name="Image 27" descr="https://www.ebi.ac.uk/chebi/images/invisible_space.gif">
          <a:extLst>
            <a:ext uri="{FF2B5EF4-FFF2-40B4-BE49-F238E27FC236}">
              <a16:creationId xmlns:a16="http://schemas.microsoft.com/office/drawing/2014/main" id="{5F4CC9C6-3E9D-4B6A-86BF-E53A89DFF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1076325</xdr:colOff>
      <xdr:row>53</xdr:row>
      <xdr:rowOff>0</xdr:rowOff>
    </xdr:from>
    <xdr:to>
      <xdr:col>14</xdr:col>
      <xdr:colOff>19050</xdr:colOff>
      <xdr:row>53</xdr:row>
      <xdr:rowOff>0</xdr:rowOff>
    </xdr:to>
    <xdr:pic>
      <xdr:nvPicPr>
        <xdr:cNvPr id="113" name="Image 28" descr="https://www.ebi.ac.uk/chebi/images/invisible_space.gif">
          <a:extLst>
            <a:ext uri="{FF2B5EF4-FFF2-40B4-BE49-F238E27FC236}">
              <a16:creationId xmlns:a16="http://schemas.microsoft.com/office/drawing/2014/main" id="{6F2250C6-37A3-4DC5-8403-82B7ACEF8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663892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1123950</xdr:colOff>
      <xdr:row>53</xdr:row>
      <xdr:rowOff>0</xdr:rowOff>
    </xdr:from>
    <xdr:to>
      <xdr:col>14</xdr:col>
      <xdr:colOff>3810</xdr:colOff>
      <xdr:row>53</xdr:row>
      <xdr:rowOff>0</xdr:rowOff>
    </xdr:to>
    <xdr:pic>
      <xdr:nvPicPr>
        <xdr:cNvPr id="114" name="Image 29" descr="https://www.ebi.ac.uk/chebi/images/invisible_space.gif">
          <a:extLst>
            <a:ext uri="{FF2B5EF4-FFF2-40B4-BE49-F238E27FC236}">
              <a16:creationId xmlns:a16="http://schemas.microsoft.com/office/drawing/2014/main" id="{EC1F67DA-CEF3-47F8-952F-8BB0A164B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6638925"/>
          <a:ext cx="38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0</xdr:colOff>
      <xdr:row>53</xdr:row>
      <xdr:rowOff>0</xdr:rowOff>
    </xdr:to>
    <xdr:pic>
      <xdr:nvPicPr>
        <xdr:cNvPr id="115" name="Image 30" descr="https://www.ebi.ac.uk/chebi/images/invisible_space.gif">
          <a:extLst>
            <a:ext uri="{FF2B5EF4-FFF2-40B4-BE49-F238E27FC236}">
              <a16:creationId xmlns:a16="http://schemas.microsoft.com/office/drawing/2014/main" id="{6E07E57B-39AE-430C-8390-EBA99E1E2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0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47625</xdr:colOff>
      <xdr:row>53</xdr:row>
      <xdr:rowOff>0</xdr:rowOff>
    </xdr:from>
    <xdr:to>
      <xdr:col>13</xdr:col>
      <xdr:colOff>47625</xdr:colOff>
      <xdr:row>53</xdr:row>
      <xdr:rowOff>0</xdr:rowOff>
    </xdr:to>
    <xdr:pic>
      <xdr:nvPicPr>
        <xdr:cNvPr id="116" name="Image 31" descr="https://www.ebi.ac.uk/chebi/images/invisible_space.gif">
          <a:extLst>
            <a:ext uri="{FF2B5EF4-FFF2-40B4-BE49-F238E27FC236}">
              <a16:creationId xmlns:a16="http://schemas.microsoft.com/office/drawing/2014/main" id="{AD24EC17-04A6-468E-8F66-71AD21FEF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75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85725</xdr:colOff>
      <xdr:row>53</xdr:row>
      <xdr:rowOff>0</xdr:rowOff>
    </xdr:from>
    <xdr:to>
      <xdr:col>13</xdr:col>
      <xdr:colOff>85725</xdr:colOff>
      <xdr:row>53</xdr:row>
      <xdr:rowOff>0</xdr:rowOff>
    </xdr:to>
    <xdr:pic>
      <xdr:nvPicPr>
        <xdr:cNvPr id="117" name="Image 32" descr="https://www.ebi.ac.uk/chebi/images/invisible_space.gif">
          <a:extLst>
            <a:ext uri="{FF2B5EF4-FFF2-40B4-BE49-F238E27FC236}">
              <a16:creationId xmlns:a16="http://schemas.microsoft.com/office/drawing/2014/main" id="{DFC37E06-AC3D-4730-A77D-B06FB5B1D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9475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114300</xdr:colOff>
      <xdr:row>53</xdr:row>
      <xdr:rowOff>0</xdr:rowOff>
    </xdr:from>
    <xdr:to>
      <xdr:col>13</xdr:col>
      <xdr:colOff>123825</xdr:colOff>
      <xdr:row>53</xdr:row>
      <xdr:rowOff>0</xdr:rowOff>
    </xdr:to>
    <xdr:pic>
      <xdr:nvPicPr>
        <xdr:cNvPr id="118" name="Image 33" descr="https://www.ebi.ac.uk/chebi/images/invisible_space.gif">
          <a:extLst>
            <a:ext uri="{FF2B5EF4-FFF2-40B4-BE49-F238E27FC236}">
              <a16:creationId xmlns:a16="http://schemas.microsoft.com/office/drawing/2014/main" id="{0C97D89E-22CE-43F5-AE23-0BA7F1F65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8050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171450</xdr:colOff>
      <xdr:row>53</xdr:row>
      <xdr:rowOff>0</xdr:rowOff>
    </xdr:from>
    <xdr:to>
      <xdr:col>13</xdr:col>
      <xdr:colOff>171450</xdr:colOff>
      <xdr:row>53</xdr:row>
      <xdr:rowOff>0</xdr:rowOff>
    </xdr:to>
    <xdr:pic>
      <xdr:nvPicPr>
        <xdr:cNvPr id="119" name="Image 34" descr="https://www.ebi.ac.uk/chebi/images/invisible_space.gif">
          <a:extLst>
            <a:ext uri="{FF2B5EF4-FFF2-40B4-BE49-F238E27FC236}">
              <a16:creationId xmlns:a16="http://schemas.microsoft.com/office/drawing/2014/main" id="{5E01A659-19A4-4191-ADE5-5B1D4742B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5200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190500</xdr:colOff>
      <xdr:row>53</xdr:row>
      <xdr:rowOff>0</xdr:rowOff>
    </xdr:from>
    <xdr:to>
      <xdr:col>13</xdr:col>
      <xdr:colOff>200025</xdr:colOff>
      <xdr:row>53</xdr:row>
      <xdr:rowOff>0</xdr:rowOff>
    </xdr:to>
    <xdr:pic>
      <xdr:nvPicPr>
        <xdr:cNvPr id="120" name="Image 35" descr="https://www.ebi.ac.uk/chebi/images/invisible_space.gif">
          <a:extLst>
            <a:ext uri="{FF2B5EF4-FFF2-40B4-BE49-F238E27FC236}">
              <a16:creationId xmlns:a16="http://schemas.microsoft.com/office/drawing/2014/main" id="{8A03C061-7550-4DC5-A203-770F0E451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276225</xdr:colOff>
      <xdr:row>53</xdr:row>
      <xdr:rowOff>0</xdr:rowOff>
    </xdr:from>
    <xdr:to>
      <xdr:col>13</xdr:col>
      <xdr:colOff>276225</xdr:colOff>
      <xdr:row>53</xdr:row>
      <xdr:rowOff>0</xdr:rowOff>
    </xdr:to>
    <xdr:pic>
      <xdr:nvPicPr>
        <xdr:cNvPr id="121" name="Image 37" descr="https://www.ebi.ac.uk/chebi/images/invisible_space.gif">
          <a:extLst>
            <a:ext uri="{FF2B5EF4-FFF2-40B4-BE49-F238E27FC236}">
              <a16:creationId xmlns:a16="http://schemas.microsoft.com/office/drawing/2014/main" id="{F522D316-968D-4A75-83D9-6819993FD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9975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333375</xdr:colOff>
      <xdr:row>53</xdr:row>
      <xdr:rowOff>0</xdr:rowOff>
    </xdr:from>
    <xdr:to>
      <xdr:col>13</xdr:col>
      <xdr:colOff>342900</xdr:colOff>
      <xdr:row>53</xdr:row>
      <xdr:rowOff>0</xdr:rowOff>
    </xdr:to>
    <xdr:pic>
      <xdr:nvPicPr>
        <xdr:cNvPr id="122" name="Image 38" descr="https://www.ebi.ac.uk/chebi/images/invisible_space.gif">
          <a:extLst>
            <a:ext uri="{FF2B5EF4-FFF2-40B4-BE49-F238E27FC236}">
              <a16:creationId xmlns:a16="http://schemas.microsoft.com/office/drawing/2014/main" id="{6F73813C-CEF5-48A9-A235-B4F7D6476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7125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352425</xdr:colOff>
      <xdr:row>53</xdr:row>
      <xdr:rowOff>0</xdr:rowOff>
    </xdr:from>
    <xdr:to>
      <xdr:col>13</xdr:col>
      <xdr:colOff>352425</xdr:colOff>
      <xdr:row>53</xdr:row>
      <xdr:rowOff>0</xdr:rowOff>
    </xdr:to>
    <xdr:pic>
      <xdr:nvPicPr>
        <xdr:cNvPr id="123" name="Image 39" descr="https://www.ebi.ac.uk/chebi/images/invisible_space.gif">
          <a:extLst>
            <a:ext uri="{FF2B5EF4-FFF2-40B4-BE49-F238E27FC236}">
              <a16:creationId xmlns:a16="http://schemas.microsoft.com/office/drawing/2014/main" id="{C83EFE31-3D49-4144-AA3C-C0B41765C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6175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400050</xdr:colOff>
      <xdr:row>53</xdr:row>
      <xdr:rowOff>0</xdr:rowOff>
    </xdr:from>
    <xdr:to>
      <xdr:col>13</xdr:col>
      <xdr:colOff>400050</xdr:colOff>
      <xdr:row>53</xdr:row>
      <xdr:rowOff>0</xdr:rowOff>
    </xdr:to>
    <xdr:pic>
      <xdr:nvPicPr>
        <xdr:cNvPr id="124" name="Image 40" descr="https://www.ebi.ac.uk/chebi/images/invisible_space.gif">
          <a:extLst>
            <a:ext uri="{FF2B5EF4-FFF2-40B4-BE49-F238E27FC236}">
              <a16:creationId xmlns:a16="http://schemas.microsoft.com/office/drawing/2014/main" id="{3ACD711E-EABE-4545-B99F-9006A5661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457200</xdr:colOff>
      <xdr:row>53</xdr:row>
      <xdr:rowOff>0</xdr:rowOff>
    </xdr:from>
    <xdr:to>
      <xdr:col>13</xdr:col>
      <xdr:colOff>485775</xdr:colOff>
      <xdr:row>53</xdr:row>
      <xdr:rowOff>0</xdr:rowOff>
    </xdr:to>
    <xdr:pic>
      <xdr:nvPicPr>
        <xdr:cNvPr id="125" name="Image 41" descr="https://www.ebi.ac.uk/chebi/images/invisible_space.gif">
          <a:extLst>
            <a:ext uri="{FF2B5EF4-FFF2-40B4-BE49-F238E27FC236}">
              <a16:creationId xmlns:a16="http://schemas.microsoft.com/office/drawing/2014/main" id="{BD8CEF79-F8D0-4164-901D-9DBD933EE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0950" y="6638925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476250</xdr:colOff>
      <xdr:row>53</xdr:row>
      <xdr:rowOff>0</xdr:rowOff>
    </xdr:from>
    <xdr:to>
      <xdr:col>13</xdr:col>
      <xdr:colOff>485775</xdr:colOff>
      <xdr:row>53</xdr:row>
      <xdr:rowOff>0</xdr:rowOff>
    </xdr:to>
    <xdr:pic>
      <xdr:nvPicPr>
        <xdr:cNvPr id="126" name="Image 42" descr="https://www.ebi.ac.uk/chebi/images/invisible_space.gif">
          <a:extLst>
            <a:ext uri="{FF2B5EF4-FFF2-40B4-BE49-F238E27FC236}">
              <a16:creationId xmlns:a16="http://schemas.microsoft.com/office/drawing/2014/main" id="{43149B94-85AF-48F7-A589-99602DFA9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0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523875</xdr:colOff>
      <xdr:row>53</xdr:row>
      <xdr:rowOff>0</xdr:rowOff>
    </xdr:from>
    <xdr:to>
      <xdr:col>13</xdr:col>
      <xdr:colOff>571500</xdr:colOff>
      <xdr:row>53</xdr:row>
      <xdr:rowOff>0</xdr:rowOff>
    </xdr:to>
    <xdr:pic>
      <xdr:nvPicPr>
        <xdr:cNvPr id="127" name="Image 43" descr="https://www.ebi.ac.uk/chebi/images/invisible_space.gif">
          <a:extLst>
            <a:ext uri="{FF2B5EF4-FFF2-40B4-BE49-F238E27FC236}">
              <a16:creationId xmlns:a16="http://schemas.microsoft.com/office/drawing/2014/main" id="{695FB9C9-83DB-4794-A5A6-CFC491E07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7625" y="6638925"/>
          <a:ext cx="47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571500</xdr:colOff>
      <xdr:row>53</xdr:row>
      <xdr:rowOff>0</xdr:rowOff>
    </xdr:from>
    <xdr:to>
      <xdr:col>13</xdr:col>
      <xdr:colOff>581025</xdr:colOff>
      <xdr:row>53</xdr:row>
      <xdr:rowOff>0</xdr:rowOff>
    </xdr:to>
    <xdr:pic>
      <xdr:nvPicPr>
        <xdr:cNvPr id="128" name="Image 44" descr="https://www.ebi.ac.uk/chebi/images/invisible_space.gif">
          <a:extLst>
            <a:ext uri="{FF2B5EF4-FFF2-40B4-BE49-F238E27FC236}">
              <a16:creationId xmlns:a16="http://schemas.microsoft.com/office/drawing/2014/main" id="{32797944-822D-46D7-AACA-9AC20B07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0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609600</xdr:colOff>
      <xdr:row>53</xdr:row>
      <xdr:rowOff>0</xdr:rowOff>
    </xdr:from>
    <xdr:to>
      <xdr:col>13</xdr:col>
      <xdr:colOff>619125</xdr:colOff>
      <xdr:row>53</xdr:row>
      <xdr:rowOff>0</xdr:rowOff>
    </xdr:to>
    <xdr:pic>
      <xdr:nvPicPr>
        <xdr:cNvPr id="129" name="Image 45" descr="https://www.ebi.ac.uk/chebi/images/invisible_space.gif">
          <a:extLst>
            <a:ext uri="{FF2B5EF4-FFF2-40B4-BE49-F238E27FC236}">
              <a16:creationId xmlns:a16="http://schemas.microsoft.com/office/drawing/2014/main" id="{A47D415E-84E8-4AC9-A378-0AD5F01E2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3350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628650</xdr:colOff>
      <xdr:row>53</xdr:row>
      <xdr:rowOff>0</xdr:rowOff>
    </xdr:from>
    <xdr:to>
      <xdr:col>13</xdr:col>
      <xdr:colOff>628650</xdr:colOff>
      <xdr:row>53</xdr:row>
      <xdr:rowOff>0</xdr:rowOff>
    </xdr:to>
    <xdr:pic>
      <xdr:nvPicPr>
        <xdr:cNvPr id="130" name="Image 46" descr="https://www.ebi.ac.uk/chebi/images/invisible_space.gif">
          <a:extLst>
            <a:ext uri="{FF2B5EF4-FFF2-40B4-BE49-F238E27FC236}">
              <a16:creationId xmlns:a16="http://schemas.microsoft.com/office/drawing/2014/main" id="{6A985B43-0A04-4E94-9E6B-DBB58C820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676275</xdr:colOff>
      <xdr:row>53</xdr:row>
      <xdr:rowOff>0</xdr:rowOff>
    </xdr:from>
    <xdr:to>
      <xdr:col>13</xdr:col>
      <xdr:colOff>676275</xdr:colOff>
      <xdr:row>53</xdr:row>
      <xdr:rowOff>0</xdr:rowOff>
    </xdr:to>
    <xdr:pic>
      <xdr:nvPicPr>
        <xdr:cNvPr id="131" name="Image 47" descr="https://www.ebi.ac.uk/chebi/images/invisible_space.gif">
          <a:extLst>
            <a:ext uri="{FF2B5EF4-FFF2-40B4-BE49-F238E27FC236}">
              <a16:creationId xmlns:a16="http://schemas.microsoft.com/office/drawing/2014/main" id="{59ED236D-B19A-4643-B0A5-747DD3405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809625</xdr:colOff>
      <xdr:row>53</xdr:row>
      <xdr:rowOff>0</xdr:rowOff>
    </xdr:from>
    <xdr:to>
      <xdr:col>13</xdr:col>
      <xdr:colOff>819150</xdr:colOff>
      <xdr:row>53</xdr:row>
      <xdr:rowOff>0</xdr:rowOff>
    </xdr:to>
    <xdr:pic>
      <xdr:nvPicPr>
        <xdr:cNvPr id="132" name="Image 50" descr="https://www.ebi.ac.uk/chebi/images/invisible_space.gif">
          <a:extLst>
            <a:ext uri="{FF2B5EF4-FFF2-40B4-BE49-F238E27FC236}">
              <a16:creationId xmlns:a16="http://schemas.microsoft.com/office/drawing/2014/main" id="{3CA84A7F-5360-455E-8F95-45E7581CF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866775</xdr:colOff>
      <xdr:row>53</xdr:row>
      <xdr:rowOff>0</xdr:rowOff>
    </xdr:from>
    <xdr:to>
      <xdr:col>13</xdr:col>
      <xdr:colOff>866775</xdr:colOff>
      <xdr:row>53</xdr:row>
      <xdr:rowOff>0</xdr:rowOff>
    </xdr:to>
    <xdr:pic>
      <xdr:nvPicPr>
        <xdr:cNvPr id="133" name="Image 52" descr="https://www.ebi.ac.uk/chebi/images/invisible_space.gif">
          <a:extLst>
            <a:ext uri="{FF2B5EF4-FFF2-40B4-BE49-F238E27FC236}">
              <a16:creationId xmlns:a16="http://schemas.microsoft.com/office/drawing/2014/main" id="{2FB28559-D16A-4417-B090-F7620701A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0525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1047750</xdr:colOff>
      <xdr:row>53</xdr:row>
      <xdr:rowOff>0</xdr:rowOff>
    </xdr:from>
    <xdr:to>
      <xdr:col>14</xdr:col>
      <xdr:colOff>0</xdr:colOff>
      <xdr:row>53</xdr:row>
      <xdr:rowOff>0</xdr:rowOff>
    </xdr:to>
    <xdr:pic>
      <xdr:nvPicPr>
        <xdr:cNvPr id="134" name="Image 56" descr="https://www.ebi.ac.uk/chebi/images/invisible_space.gif">
          <a:extLst>
            <a:ext uri="{FF2B5EF4-FFF2-40B4-BE49-F238E27FC236}">
              <a16:creationId xmlns:a16="http://schemas.microsoft.com/office/drawing/2014/main" id="{8F51C2EF-E3C8-4755-80DE-BF8C6ED40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66389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1076325</xdr:colOff>
      <xdr:row>53</xdr:row>
      <xdr:rowOff>0</xdr:rowOff>
    </xdr:from>
    <xdr:to>
      <xdr:col>14</xdr:col>
      <xdr:colOff>19050</xdr:colOff>
      <xdr:row>53</xdr:row>
      <xdr:rowOff>0</xdr:rowOff>
    </xdr:to>
    <xdr:pic>
      <xdr:nvPicPr>
        <xdr:cNvPr id="135" name="Image 57" descr="https://www.ebi.ac.uk/chebi/images/invisible_space.gif">
          <a:extLst>
            <a:ext uri="{FF2B5EF4-FFF2-40B4-BE49-F238E27FC236}">
              <a16:creationId xmlns:a16="http://schemas.microsoft.com/office/drawing/2014/main" id="{14799A29-D6E0-42EC-B23B-13EFF37CC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663892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571500</xdr:colOff>
      <xdr:row>53</xdr:row>
      <xdr:rowOff>0</xdr:rowOff>
    </xdr:from>
    <xdr:to>
      <xdr:col>19</xdr:col>
      <xdr:colOff>581025</xdr:colOff>
      <xdr:row>53</xdr:row>
      <xdr:rowOff>0</xdr:rowOff>
    </xdr:to>
    <xdr:pic>
      <xdr:nvPicPr>
        <xdr:cNvPr id="136" name="Image 58" descr="https://www.ebi.ac.uk/chebi/images/invisible_space.gif">
          <a:extLst>
            <a:ext uri="{FF2B5EF4-FFF2-40B4-BE49-F238E27FC236}">
              <a16:creationId xmlns:a16="http://schemas.microsoft.com/office/drawing/2014/main" id="{EA50ACBC-6774-4227-A4D7-5FBF63E3E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2625" y="98774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0</xdr:colOff>
      <xdr:row>53</xdr:row>
      <xdr:rowOff>0</xdr:rowOff>
    </xdr:to>
    <xdr:pic>
      <xdr:nvPicPr>
        <xdr:cNvPr id="137" name="Image 59" descr="https://www.ebi.ac.uk/chebi/images/invisible_space.gif">
          <a:extLst>
            <a:ext uri="{FF2B5EF4-FFF2-40B4-BE49-F238E27FC236}">
              <a16:creationId xmlns:a16="http://schemas.microsoft.com/office/drawing/2014/main" id="{9870B848-EEF6-4A6C-9E38-50D21F205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0" y="9877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47625</xdr:colOff>
      <xdr:row>53</xdr:row>
      <xdr:rowOff>0</xdr:rowOff>
    </xdr:from>
    <xdr:to>
      <xdr:col>13</xdr:col>
      <xdr:colOff>47625</xdr:colOff>
      <xdr:row>53</xdr:row>
      <xdr:rowOff>0</xdr:rowOff>
    </xdr:to>
    <xdr:pic>
      <xdr:nvPicPr>
        <xdr:cNvPr id="138" name="Image 60" descr="https://www.ebi.ac.uk/chebi/images/invisible_space.gif">
          <a:extLst>
            <a:ext uri="{FF2B5EF4-FFF2-40B4-BE49-F238E27FC236}">
              <a16:creationId xmlns:a16="http://schemas.microsoft.com/office/drawing/2014/main" id="{E6373229-E68E-4734-8FFC-97B7A4686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75" y="9877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85725</xdr:colOff>
      <xdr:row>53</xdr:row>
      <xdr:rowOff>0</xdr:rowOff>
    </xdr:from>
    <xdr:to>
      <xdr:col>13</xdr:col>
      <xdr:colOff>85725</xdr:colOff>
      <xdr:row>53</xdr:row>
      <xdr:rowOff>0</xdr:rowOff>
    </xdr:to>
    <xdr:pic>
      <xdr:nvPicPr>
        <xdr:cNvPr id="139" name="Image 61" descr="https://www.ebi.ac.uk/chebi/images/invisible_space.gif">
          <a:extLst>
            <a:ext uri="{FF2B5EF4-FFF2-40B4-BE49-F238E27FC236}">
              <a16:creationId xmlns:a16="http://schemas.microsoft.com/office/drawing/2014/main" id="{4B4BDAAC-E2CD-45F9-A473-4B96FE45C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9475" y="9877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114300</xdr:colOff>
      <xdr:row>53</xdr:row>
      <xdr:rowOff>0</xdr:rowOff>
    </xdr:from>
    <xdr:to>
      <xdr:col>13</xdr:col>
      <xdr:colOff>123825</xdr:colOff>
      <xdr:row>53</xdr:row>
      <xdr:rowOff>0</xdr:rowOff>
    </xdr:to>
    <xdr:pic>
      <xdr:nvPicPr>
        <xdr:cNvPr id="140" name="Image 62" descr="https://www.ebi.ac.uk/chebi/images/invisible_space.gif">
          <a:extLst>
            <a:ext uri="{FF2B5EF4-FFF2-40B4-BE49-F238E27FC236}">
              <a16:creationId xmlns:a16="http://schemas.microsoft.com/office/drawing/2014/main" id="{71CEC3D3-0E3C-4C18-860E-13C5ABC13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8050" y="98774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171450</xdr:colOff>
      <xdr:row>53</xdr:row>
      <xdr:rowOff>0</xdr:rowOff>
    </xdr:from>
    <xdr:to>
      <xdr:col>13</xdr:col>
      <xdr:colOff>171450</xdr:colOff>
      <xdr:row>53</xdr:row>
      <xdr:rowOff>0</xdr:rowOff>
    </xdr:to>
    <xdr:pic>
      <xdr:nvPicPr>
        <xdr:cNvPr id="141" name="Image 63" descr="https://www.ebi.ac.uk/chebi/images/invisible_space.gif">
          <a:extLst>
            <a:ext uri="{FF2B5EF4-FFF2-40B4-BE49-F238E27FC236}">
              <a16:creationId xmlns:a16="http://schemas.microsoft.com/office/drawing/2014/main" id="{2527F3C1-4DC1-4592-AEC9-B6BFEE425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5200" y="9877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190500</xdr:colOff>
      <xdr:row>53</xdr:row>
      <xdr:rowOff>0</xdr:rowOff>
    </xdr:from>
    <xdr:to>
      <xdr:col>13</xdr:col>
      <xdr:colOff>200025</xdr:colOff>
      <xdr:row>53</xdr:row>
      <xdr:rowOff>0</xdr:rowOff>
    </xdr:to>
    <xdr:pic>
      <xdr:nvPicPr>
        <xdr:cNvPr id="142" name="Image 64" descr="https://www.ebi.ac.uk/chebi/images/invisible_space.gif">
          <a:extLst>
            <a:ext uri="{FF2B5EF4-FFF2-40B4-BE49-F238E27FC236}">
              <a16:creationId xmlns:a16="http://schemas.microsoft.com/office/drawing/2014/main" id="{D0A0169B-209D-46AB-95B1-A7A61260C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774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247650</xdr:colOff>
      <xdr:row>53</xdr:row>
      <xdr:rowOff>0</xdr:rowOff>
    </xdr:from>
    <xdr:to>
      <xdr:col>13</xdr:col>
      <xdr:colOff>257175</xdr:colOff>
      <xdr:row>53</xdr:row>
      <xdr:rowOff>0</xdr:rowOff>
    </xdr:to>
    <xdr:pic>
      <xdr:nvPicPr>
        <xdr:cNvPr id="143" name="Image 65" descr="https://www.ebi.ac.uk/chebi/images/invisible_space.gif">
          <a:extLst>
            <a:ext uri="{FF2B5EF4-FFF2-40B4-BE49-F238E27FC236}">
              <a16:creationId xmlns:a16="http://schemas.microsoft.com/office/drawing/2014/main" id="{DAD14651-35F1-49E4-8A82-9B7F3A3D1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1400" y="98774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276225</xdr:colOff>
      <xdr:row>53</xdr:row>
      <xdr:rowOff>0</xdr:rowOff>
    </xdr:from>
    <xdr:to>
      <xdr:col>13</xdr:col>
      <xdr:colOff>276225</xdr:colOff>
      <xdr:row>53</xdr:row>
      <xdr:rowOff>0</xdr:rowOff>
    </xdr:to>
    <xdr:pic>
      <xdr:nvPicPr>
        <xdr:cNvPr id="144" name="Image 66" descr="https://www.ebi.ac.uk/chebi/images/invisible_space.gif">
          <a:extLst>
            <a:ext uri="{FF2B5EF4-FFF2-40B4-BE49-F238E27FC236}">
              <a16:creationId xmlns:a16="http://schemas.microsoft.com/office/drawing/2014/main" id="{D5066164-4228-4691-AE4D-321820370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9975" y="9877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333375</xdr:colOff>
      <xdr:row>53</xdr:row>
      <xdr:rowOff>0</xdr:rowOff>
    </xdr:from>
    <xdr:to>
      <xdr:col>13</xdr:col>
      <xdr:colOff>342900</xdr:colOff>
      <xdr:row>53</xdr:row>
      <xdr:rowOff>0</xdr:rowOff>
    </xdr:to>
    <xdr:pic>
      <xdr:nvPicPr>
        <xdr:cNvPr id="145" name="Image 67" descr="https://www.ebi.ac.uk/chebi/images/invisible_space.gif">
          <a:extLst>
            <a:ext uri="{FF2B5EF4-FFF2-40B4-BE49-F238E27FC236}">
              <a16:creationId xmlns:a16="http://schemas.microsoft.com/office/drawing/2014/main" id="{DC56A36D-598C-458A-8614-011E0A14D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7125" y="98774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352425</xdr:colOff>
      <xdr:row>53</xdr:row>
      <xdr:rowOff>0</xdr:rowOff>
    </xdr:from>
    <xdr:to>
      <xdr:col>13</xdr:col>
      <xdr:colOff>352425</xdr:colOff>
      <xdr:row>53</xdr:row>
      <xdr:rowOff>0</xdr:rowOff>
    </xdr:to>
    <xdr:pic>
      <xdr:nvPicPr>
        <xdr:cNvPr id="146" name="Image 68" descr="https://www.ebi.ac.uk/chebi/images/invisible_space.gif">
          <a:extLst>
            <a:ext uri="{FF2B5EF4-FFF2-40B4-BE49-F238E27FC236}">
              <a16:creationId xmlns:a16="http://schemas.microsoft.com/office/drawing/2014/main" id="{A4AA1DEE-4CB6-4240-92C0-09A601005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6175" y="9877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400050</xdr:colOff>
      <xdr:row>53</xdr:row>
      <xdr:rowOff>0</xdr:rowOff>
    </xdr:from>
    <xdr:to>
      <xdr:col>13</xdr:col>
      <xdr:colOff>400050</xdr:colOff>
      <xdr:row>53</xdr:row>
      <xdr:rowOff>0</xdr:rowOff>
    </xdr:to>
    <xdr:pic>
      <xdr:nvPicPr>
        <xdr:cNvPr id="147" name="Image 69" descr="https://www.ebi.ac.uk/chebi/images/invisible_space.gif">
          <a:extLst>
            <a:ext uri="{FF2B5EF4-FFF2-40B4-BE49-F238E27FC236}">
              <a16:creationId xmlns:a16="http://schemas.microsoft.com/office/drawing/2014/main" id="{E9B83EBB-67CB-47AA-99A0-C5834322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9877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457200</xdr:colOff>
      <xdr:row>53</xdr:row>
      <xdr:rowOff>0</xdr:rowOff>
    </xdr:from>
    <xdr:to>
      <xdr:col>13</xdr:col>
      <xdr:colOff>485775</xdr:colOff>
      <xdr:row>53</xdr:row>
      <xdr:rowOff>0</xdr:rowOff>
    </xdr:to>
    <xdr:pic>
      <xdr:nvPicPr>
        <xdr:cNvPr id="148" name="Image 70" descr="https://www.ebi.ac.uk/chebi/images/invisible_space.gif">
          <a:extLst>
            <a:ext uri="{FF2B5EF4-FFF2-40B4-BE49-F238E27FC236}">
              <a16:creationId xmlns:a16="http://schemas.microsoft.com/office/drawing/2014/main" id="{2560E759-20A1-461E-B86E-7CEC31F20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0950" y="9877425"/>
          <a:ext cx="28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476250</xdr:colOff>
      <xdr:row>53</xdr:row>
      <xdr:rowOff>0</xdr:rowOff>
    </xdr:from>
    <xdr:to>
      <xdr:col>13</xdr:col>
      <xdr:colOff>485775</xdr:colOff>
      <xdr:row>53</xdr:row>
      <xdr:rowOff>0</xdr:rowOff>
    </xdr:to>
    <xdr:pic>
      <xdr:nvPicPr>
        <xdr:cNvPr id="149" name="Image 71" descr="https://www.ebi.ac.uk/chebi/images/invisible_space.gif">
          <a:extLst>
            <a:ext uri="{FF2B5EF4-FFF2-40B4-BE49-F238E27FC236}">
              <a16:creationId xmlns:a16="http://schemas.microsoft.com/office/drawing/2014/main" id="{D7E1D94B-E078-4892-8545-66329703B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0" y="98774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571500</xdr:colOff>
      <xdr:row>53</xdr:row>
      <xdr:rowOff>0</xdr:rowOff>
    </xdr:from>
    <xdr:to>
      <xdr:col>13</xdr:col>
      <xdr:colOff>581025</xdr:colOff>
      <xdr:row>53</xdr:row>
      <xdr:rowOff>0</xdr:rowOff>
    </xdr:to>
    <xdr:pic>
      <xdr:nvPicPr>
        <xdr:cNvPr id="150" name="Image 73" descr="https://www.ebi.ac.uk/chebi/images/invisible_space.gif">
          <a:extLst>
            <a:ext uri="{FF2B5EF4-FFF2-40B4-BE49-F238E27FC236}">
              <a16:creationId xmlns:a16="http://schemas.microsoft.com/office/drawing/2014/main" id="{6E54B0B3-6D0F-45DF-8757-6F6014A6B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0" y="98774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609600</xdr:colOff>
      <xdr:row>53</xdr:row>
      <xdr:rowOff>0</xdr:rowOff>
    </xdr:from>
    <xdr:to>
      <xdr:col>13</xdr:col>
      <xdr:colOff>619125</xdr:colOff>
      <xdr:row>53</xdr:row>
      <xdr:rowOff>0</xdr:rowOff>
    </xdr:to>
    <xdr:pic>
      <xdr:nvPicPr>
        <xdr:cNvPr id="151" name="Image 74" descr="https://www.ebi.ac.uk/chebi/images/invisible_space.gif">
          <a:extLst>
            <a:ext uri="{FF2B5EF4-FFF2-40B4-BE49-F238E27FC236}">
              <a16:creationId xmlns:a16="http://schemas.microsoft.com/office/drawing/2014/main" id="{48D5A13F-7E54-4E14-8BBB-F96F29A3C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3350" y="98774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628650</xdr:colOff>
      <xdr:row>53</xdr:row>
      <xdr:rowOff>0</xdr:rowOff>
    </xdr:from>
    <xdr:to>
      <xdr:col>13</xdr:col>
      <xdr:colOff>628650</xdr:colOff>
      <xdr:row>53</xdr:row>
      <xdr:rowOff>0</xdr:rowOff>
    </xdr:to>
    <xdr:pic>
      <xdr:nvPicPr>
        <xdr:cNvPr id="152" name="Image 75" descr="https://www.ebi.ac.uk/chebi/images/invisible_space.gif">
          <a:extLst>
            <a:ext uri="{FF2B5EF4-FFF2-40B4-BE49-F238E27FC236}">
              <a16:creationId xmlns:a16="http://schemas.microsoft.com/office/drawing/2014/main" id="{573BA99D-C948-4680-8EE5-81EBF3E37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9877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676275</xdr:colOff>
      <xdr:row>53</xdr:row>
      <xdr:rowOff>0</xdr:rowOff>
    </xdr:from>
    <xdr:to>
      <xdr:col>13</xdr:col>
      <xdr:colOff>676275</xdr:colOff>
      <xdr:row>53</xdr:row>
      <xdr:rowOff>0</xdr:rowOff>
    </xdr:to>
    <xdr:pic>
      <xdr:nvPicPr>
        <xdr:cNvPr id="153" name="Image 76" descr="https://www.ebi.ac.uk/chebi/images/invisible_space.gif">
          <a:extLst>
            <a:ext uri="{FF2B5EF4-FFF2-40B4-BE49-F238E27FC236}">
              <a16:creationId xmlns:a16="http://schemas.microsoft.com/office/drawing/2014/main" id="{2BACA149-7059-4638-A0F6-87447142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9877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714375</xdr:colOff>
      <xdr:row>53</xdr:row>
      <xdr:rowOff>0</xdr:rowOff>
    </xdr:from>
    <xdr:to>
      <xdr:col>13</xdr:col>
      <xdr:colOff>723900</xdr:colOff>
      <xdr:row>53</xdr:row>
      <xdr:rowOff>0</xdr:rowOff>
    </xdr:to>
    <xdr:pic>
      <xdr:nvPicPr>
        <xdr:cNvPr id="154" name="Image 77" descr="https://www.ebi.ac.uk/chebi/images/invisible_space.gif">
          <a:extLst>
            <a:ext uri="{FF2B5EF4-FFF2-40B4-BE49-F238E27FC236}">
              <a16:creationId xmlns:a16="http://schemas.microsoft.com/office/drawing/2014/main" id="{29A88EAF-891C-4B1F-820E-ED85E26B1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98774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752475</xdr:colOff>
      <xdr:row>53</xdr:row>
      <xdr:rowOff>0</xdr:rowOff>
    </xdr:from>
    <xdr:to>
      <xdr:col>13</xdr:col>
      <xdr:colOff>762000</xdr:colOff>
      <xdr:row>53</xdr:row>
      <xdr:rowOff>0</xdr:rowOff>
    </xdr:to>
    <xdr:pic>
      <xdr:nvPicPr>
        <xdr:cNvPr id="155" name="Image 78" descr="https://www.ebi.ac.uk/chebi/images/invisible_space.gif">
          <a:extLst>
            <a:ext uri="{FF2B5EF4-FFF2-40B4-BE49-F238E27FC236}">
              <a16:creationId xmlns:a16="http://schemas.microsoft.com/office/drawing/2014/main" id="{E3471E8F-37C3-4BFE-A6D3-DC2A3C76E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06225" y="98774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809625</xdr:colOff>
      <xdr:row>53</xdr:row>
      <xdr:rowOff>0</xdr:rowOff>
    </xdr:from>
    <xdr:to>
      <xdr:col>13</xdr:col>
      <xdr:colOff>819150</xdr:colOff>
      <xdr:row>53</xdr:row>
      <xdr:rowOff>0</xdr:rowOff>
    </xdr:to>
    <xdr:pic>
      <xdr:nvPicPr>
        <xdr:cNvPr id="156" name="Image 79" descr="https://www.ebi.ac.uk/chebi/images/invisible_space.gif">
          <a:extLst>
            <a:ext uri="{FF2B5EF4-FFF2-40B4-BE49-F238E27FC236}">
              <a16:creationId xmlns:a16="http://schemas.microsoft.com/office/drawing/2014/main" id="{6AFB97B8-844B-4365-8607-816B8D86B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3375" y="98774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828675</xdr:colOff>
      <xdr:row>53</xdr:row>
      <xdr:rowOff>0</xdr:rowOff>
    </xdr:from>
    <xdr:to>
      <xdr:col>13</xdr:col>
      <xdr:colOff>828675</xdr:colOff>
      <xdr:row>53</xdr:row>
      <xdr:rowOff>0</xdr:rowOff>
    </xdr:to>
    <xdr:pic>
      <xdr:nvPicPr>
        <xdr:cNvPr id="157" name="Image 80" descr="https://www.ebi.ac.uk/chebi/images/invisible_space.gif">
          <a:extLst>
            <a:ext uri="{FF2B5EF4-FFF2-40B4-BE49-F238E27FC236}">
              <a16:creationId xmlns:a16="http://schemas.microsoft.com/office/drawing/2014/main" id="{C47B606A-BEC0-45A2-80ED-4F4225D25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82425" y="9877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866775</xdr:colOff>
      <xdr:row>53</xdr:row>
      <xdr:rowOff>0</xdr:rowOff>
    </xdr:from>
    <xdr:to>
      <xdr:col>13</xdr:col>
      <xdr:colOff>866775</xdr:colOff>
      <xdr:row>53</xdr:row>
      <xdr:rowOff>0</xdr:rowOff>
    </xdr:to>
    <xdr:pic>
      <xdr:nvPicPr>
        <xdr:cNvPr id="158" name="Image 81" descr="https://www.ebi.ac.uk/chebi/images/invisible_space.gif">
          <a:extLst>
            <a:ext uri="{FF2B5EF4-FFF2-40B4-BE49-F238E27FC236}">
              <a16:creationId xmlns:a16="http://schemas.microsoft.com/office/drawing/2014/main" id="{16F72FAC-5747-431E-A579-6C2062DBE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0525" y="9877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914400</xdr:colOff>
      <xdr:row>53</xdr:row>
      <xdr:rowOff>0</xdr:rowOff>
    </xdr:from>
    <xdr:to>
      <xdr:col>13</xdr:col>
      <xdr:colOff>914400</xdr:colOff>
      <xdr:row>53</xdr:row>
      <xdr:rowOff>0</xdr:rowOff>
    </xdr:to>
    <xdr:pic>
      <xdr:nvPicPr>
        <xdr:cNvPr id="159" name="Image 82" descr="https://www.ebi.ac.uk/chebi/images/invisible_space.gif">
          <a:extLst>
            <a:ext uri="{FF2B5EF4-FFF2-40B4-BE49-F238E27FC236}">
              <a16:creationId xmlns:a16="http://schemas.microsoft.com/office/drawing/2014/main" id="{921758DC-DFFA-4AE8-AA16-ECC8B81A0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8150" y="9877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1009650</xdr:colOff>
      <xdr:row>53</xdr:row>
      <xdr:rowOff>0</xdr:rowOff>
    </xdr:from>
    <xdr:to>
      <xdr:col>13</xdr:col>
      <xdr:colOff>1019175</xdr:colOff>
      <xdr:row>53</xdr:row>
      <xdr:rowOff>0</xdr:rowOff>
    </xdr:to>
    <xdr:pic>
      <xdr:nvPicPr>
        <xdr:cNvPr id="160" name="Image 84" descr="https://www.ebi.ac.uk/chebi/images/invisible_space.gif">
          <a:extLst>
            <a:ext uri="{FF2B5EF4-FFF2-40B4-BE49-F238E27FC236}">
              <a16:creationId xmlns:a16="http://schemas.microsoft.com/office/drawing/2014/main" id="{F3F895C6-93F1-4CD1-A0F3-B1E5672BF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3400" y="98774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1047750</xdr:colOff>
      <xdr:row>53</xdr:row>
      <xdr:rowOff>0</xdr:rowOff>
    </xdr:from>
    <xdr:to>
      <xdr:col>14</xdr:col>
      <xdr:colOff>0</xdr:colOff>
      <xdr:row>53</xdr:row>
      <xdr:rowOff>0</xdr:rowOff>
    </xdr:to>
    <xdr:pic>
      <xdr:nvPicPr>
        <xdr:cNvPr id="161" name="Image 85" descr="https://www.ebi.ac.uk/chebi/images/invisible_space.gif">
          <a:extLst>
            <a:ext uri="{FF2B5EF4-FFF2-40B4-BE49-F238E27FC236}">
              <a16:creationId xmlns:a16="http://schemas.microsoft.com/office/drawing/2014/main" id="{77923452-AE13-4CF5-B411-636651558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9877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1076325</xdr:colOff>
      <xdr:row>53</xdr:row>
      <xdr:rowOff>0</xdr:rowOff>
    </xdr:from>
    <xdr:to>
      <xdr:col>14</xdr:col>
      <xdr:colOff>19050</xdr:colOff>
      <xdr:row>53</xdr:row>
      <xdr:rowOff>0</xdr:rowOff>
    </xdr:to>
    <xdr:pic>
      <xdr:nvPicPr>
        <xdr:cNvPr id="162" name="Image 86" descr="https://www.ebi.ac.uk/chebi/images/invisible_space.gif">
          <a:extLst>
            <a:ext uri="{FF2B5EF4-FFF2-40B4-BE49-F238E27FC236}">
              <a16:creationId xmlns:a16="http://schemas.microsoft.com/office/drawing/2014/main" id="{F7DD5D9E-D20D-4EAD-84CF-FF15C1F49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9877425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1123950</xdr:colOff>
      <xdr:row>53</xdr:row>
      <xdr:rowOff>0</xdr:rowOff>
    </xdr:from>
    <xdr:to>
      <xdr:col>14</xdr:col>
      <xdr:colOff>3810</xdr:colOff>
      <xdr:row>53</xdr:row>
      <xdr:rowOff>0</xdr:rowOff>
    </xdr:to>
    <xdr:pic>
      <xdr:nvPicPr>
        <xdr:cNvPr id="163" name="Image 87" descr="https://www.ebi.ac.uk/chebi/images/invisible_space.gif">
          <a:extLst>
            <a:ext uri="{FF2B5EF4-FFF2-40B4-BE49-F238E27FC236}">
              <a16:creationId xmlns:a16="http://schemas.microsoft.com/office/drawing/2014/main" id="{D99F1347-2736-4152-AF65-33626CDA1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9877425"/>
          <a:ext cx="38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571500</xdr:colOff>
      <xdr:row>53</xdr:row>
      <xdr:rowOff>0</xdr:rowOff>
    </xdr:from>
    <xdr:to>
      <xdr:col>19</xdr:col>
      <xdr:colOff>581025</xdr:colOff>
      <xdr:row>53</xdr:row>
      <xdr:rowOff>0</xdr:rowOff>
    </xdr:to>
    <xdr:pic>
      <xdr:nvPicPr>
        <xdr:cNvPr id="164" name="Image 58" descr="https://www.ebi.ac.uk/chebi/images/invisible_space.gif">
          <a:extLst>
            <a:ext uri="{FF2B5EF4-FFF2-40B4-BE49-F238E27FC236}">
              <a16:creationId xmlns:a16="http://schemas.microsoft.com/office/drawing/2014/main" id="{052B8654-73CB-4BD7-A3D4-1A28D4BA0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2625" y="98774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571500</xdr:colOff>
      <xdr:row>53</xdr:row>
      <xdr:rowOff>0</xdr:rowOff>
    </xdr:from>
    <xdr:to>
      <xdr:col>19</xdr:col>
      <xdr:colOff>581025</xdr:colOff>
      <xdr:row>53</xdr:row>
      <xdr:rowOff>0</xdr:rowOff>
    </xdr:to>
    <xdr:pic>
      <xdr:nvPicPr>
        <xdr:cNvPr id="165" name="Image 58" descr="https://www.ebi.ac.uk/chebi/images/invisible_space.gif">
          <a:extLst>
            <a:ext uri="{FF2B5EF4-FFF2-40B4-BE49-F238E27FC236}">
              <a16:creationId xmlns:a16="http://schemas.microsoft.com/office/drawing/2014/main" id="{48D3A4FF-0E23-4637-ADAD-59AD643BC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2625" y="98774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571500</xdr:colOff>
      <xdr:row>53</xdr:row>
      <xdr:rowOff>0</xdr:rowOff>
    </xdr:from>
    <xdr:to>
      <xdr:col>19</xdr:col>
      <xdr:colOff>581025</xdr:colOff>
      <xdr:row>53</xdr:row>
      <xdr:rowOff>0</xdr:rowOff>
    </xdr:to>
    <xdr:pic>
      <xdr:nvPicPr>
        <xdr:cNvPr id="166" name="Image 58" descr="https://www.ebi.ac.uk/chebi/images/invisible_space.gif">
          <a:extLst>
            <a:ext uri="{FF2B5EF4-FFF2-40B4-BE49-F238E27FC236}">
              <a16:creationId xmlns:a16="http://schemas.microsoft.com/office/drawing/2014/main" id="{923E4506-6F34-4EE8-A53D-CFBFB5191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2625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571500</xdr:colOff>
      <xdr:row>53</xdr:row>
      <xdr:rowOff>0</xdr:rowOff>
    </xdr:from>
    <xdr:to>
      <xdr:col>19</xdr:col>
      <xdr:colOff>581025</xdr:colOff>
      <xdr:row>53</xdr:row>
      <xdr:rowOff>0</xdr:rowOff>
    </xdr:to>
    <xdr:pic>
      <xdr:nvPicPr>
        <xdr:cNvPr id="167" name="Image 58" descr="https://www.ebi.ac.uk/chebi/images/invisible_space.gif">
          <a:extLst>
            <a:ext uri="{FF2B5EF4-FFF2-40B4-BE49-F238E27FC236}">
              <a16:creationId xmlns:a16="http://schemas.microsoft.com/office/drawing/2014/main" id="{59C20EBE-A879-4592-B034-33C32AA6C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2625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571500</xdr:colOff>
      <xdr:row>53</xdr:row>
      <xdr:rowOff>0</xdr:rowOff>
    </xdr:from>
    <xdr:to>
      <xdr:col>19</xdr:col>
      <xdr:colOff>581025</xdr:colOff>
      <xdr:row>53</xdr:row>
      <xdr:rowOff>0</xdr:rowOff>
    </xdr:to>
    <xdr:pic>
      <xdr:nvPicPr>
        <xdr:cNvPr id="168" name="Image 58" descr="https://www.ebi.ac.uk/chebi/images/invisible_space.gif">
          <a:extLst>
            <a:ext uri="{FF2B5EF4-FFF2-40B4-BE49-F238E27FC236}">
              <a16:creationId xmlns:a16="http://schemas.microsoft.com/office/drawing/2014/main" id="{7FB638D4-F8A5-4915-8143-5965C83D4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2625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571500</xdr:colOff>
      <xdr:row>53</xdr:row>
      <xdr:rowOff>0</xdr:rowOff>
    </xdr:from>
    <xdr:to>
      <xdr:col>19</xdr:col>
      <xdr:colOff>581025</xdr:colOff>
      <xdr:row>53</xdr:row>
      <xdr:rowOff>0</xdr:rowOff>
    </xdr:to>
    <xdr:pic>
      <xdr:nvPicPr>
        <xdr:cNvPr id="169" name="Image 58" descr="https://www.ebi.ac.uk/chebi/images/invisible_space.gif">
          <a:extLst>
            <a:ext uri="{FF2B5EF4-FFF2-40B4-BE49-F238E27FC236}">
              <a16:creationId xmlns:a16="http://schemas.microsoft.com/office/drawing/2014/main" id="{9981CDDD-9364-4933-8701-9614D70B0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2625" y="66389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571500</xdr:colOff>
      <xdr:row>53</xdr:row>
      <xdr:rowOff>0</xdr:rowOff>
    </xdr:from>
    <xdr:to>
      <xdr:col>19</xdr:col>
      <xdr:colOff>581025</xdr:colOff>
      <xdr:row>53</xdr:row>
      <xdr:rowOff>0</xdr:rowOff>
    </xdr:to>
    <xdr:pic>
      <xdr:nvPicPr>
        <xdr:cNvPr id="170" name="Image 58" descr="https://www.ebi.ac.uk/chebi/images/invisible_space.gif">
          <a:extLst>
            <a:ext uri="{FF2B5EF4-FFF2-40B4-BE49-F238E27FC236}">
              <a16:creationId xmlns:a16="http://schemas.microsoft.com/office/drawing/2014/main" id="{50494B84-CE9C-4672-A5A5-B7F680B31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2625" y="5165407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76"/>
  <sheetViews>
    <sheetView tabSelected="1" zoomScale="87" zoomScaleNormal="115" workbookViewId="0">
      <pane ySplit="1" topLeftCell="A2" activePane="bottomLeft" state="frozen"/>
      <selection pane="bottomLeft" activeCell="D7" sqref="D7"/>
    </sheetView>
  </sheetViews>
  <sheetFormatPr baseColWidth="10" defaultColWidth="17.5546875" defaultRowHeight="13.2" x14ac:dyDescent="0.25"/>
  <cols>
    <col min="1" max="1" width="17" style="2" customWidth="1"/>
    <col min="2" max="2" width="14.88671875" style="2" bestFit="1" customWidth="1"/>
    <col min="3" max="3" width="8.88671875" style="2" customWidth="1"/>
    <col min="4" max="4" width="49.44140625" style="2" customWidth="1"/>
    <col min="5" max="5" width="46.5546875" style="2" customWidth="1"/>
    <col min="6" max="7" width="14.88671875" style="2" customWidth="1"/>
    <col min="8" max="8" width="17.6640625" style="2" customWidth="1"/>
    <col min="9" max="9" width="14.88671875" style="2" customWidth="1"/>
    <col min="10" max="10" width="9" style="2" customWidth="1"/>
    <col min="11" max="11" width="14.88671875" style="2" customWidth="1"/>
    <col min="12" max="12" width="12.33203125" style="2" customWidth="1"/>
    <col min="13" max="13" width="6.6640625" style="2" customWidth="1"/>
    <col min="14" max="14" width="15.6640625" style="2" customWidth="1"/>
    <col min="15" max="15" width="12.109375" style="2" customWidth="1"/>
    <col min="16" max="19" width="17.5546875" style="2"/>
    <col min="20" max="20" width="13.109375" style="2" customWidth="1"/>
    <col min="21" max="21" width="17.5546875" style="2"/>
    <col min="22" max="22" width="10.44140625" style="2" customWidth="1"/>
    <col min="23" max="33" width="17.5546875" style="2"/>
    <col min="34" max="36" width="14.88671875" style="2" customWidth="1"/>
    <col min="37" max="37" width="17.5546875" style="2" customWidth="1"/>
    <col min="38" max="16384" width="17.5546875" style="2"/>
  </cols>
  <sheetData>
    <row r="1" spans="1:37" ht="12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  <c r="U1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3" t="s">
        <v>33</v>
      </c>
      <c r="AI1" s="3" t="s">
        <v>34</v>
      </c>
      <c r="AJ1" s="3" t="s">
        <v>35</v>
      </c>
      <c r="AK1" s="1"/>
    </row>
    <row r="2" spans="1:37" s="6" customFormat="1" x14ac:dyDescent="0.25">
      <c r="A2" s="4" t="s">
        <v>88</v>
      </c>
      <c r="B2" s="4" t="s">
        <v>36</v>
      </c>
      <c r="C2" s="5" t="s">
        <v>37</v>
      </c>
      <c r="D2" s="4" t="s">
        <v>89</v>
      </c>
      <c r="E2" s="4" t="s">
        <v>59</v>
      </c>
      <c r="F2" s="4">
        <f>IF(NOT(ISERR(SEARCH("13C",E2,1))),1,0)</f>
        <v>0</v>
      </c>
      <c r="G2" s="4">
        <f>IF(OR(ISBLANK(E2),NOT(ISERR(SEARCH("[(M)]+",E2,1))),NOT(ISERR(SEARCH("[M+H]+",E2,1))),NOT(ISERR(SEARCH("[M-H]-",E2,1)))),0,1)</f>
        <v>1</v>
      </c>
      <c r="H2" s="4" t="s">
        <v>90</v>
      </c>
      <c r="I2" s="4">
        <v>204.08987999999999</v>
      </c>
      <c r="J2" s="4">
        <v>3.67</v>
      </c>
      <c r="K2" s="4">
        <v>159.09227999999999</v>
      </c>
      <c r="L2" s="4">
        <v>5977630</v>
      </c>
      <c r="M2" s="4">
        <f>IF(AND(ISNUMBER(J2),ISNUMBER(K2)),1,2)</f>
        <v>1</v>
      </c>
      <c r="N2" s="4" t="s">
        <v>91</v>
      </c>
      <c r="O2" s="4" t="s">
        <v>92</v>
      </c>
      <c r="P2" s="6" t="s">
        <v>93</v>
      </c>
      <c r="Q2" s="6" t="s">
        <v>94</v>
      </c>
      <c r="R2" s="6" t="s">
        <v>95</v>
      </c>
      <c r="S2" s="6" t="s">
        <v>96</v>
      </c>
      <c r="T2" s="4" t="s">
        <v>97</v>
      </c>
      <c r="U2" s="6" t="s">
        <v>98</v>
      </c>
      <c r="V2" s="7">
        <v>27897</v>
      </c>
      <c r="W2" s="6" t="s">
        <v>99</v>
      </c>
      <c r="X2" s="6" t="s">
        <v>100</v>
      </c>
      <c r="Y2" s="6" t="s">
        <v>101</v>
      </c>
      <c r="Z2" s="6" t="s">
        <v>39</v>
      </c>
      <c r="AA2" s="6" t="s">
        <v>55</v>
      </c>
      <c r="AB2" s="6" t="s">
        <v>83</v>
      </c>
      <c r="AC2" s="6" t="s">
        <v>86</v>
      </c>
      <c r="AD2" s="6" t="s">
        <v>80</v>
      </c>
      <c r="AE2" s="6" t="s">
        <v>81</v>
      </c>
      <c r="AF2" s="6" t="s">
        <v>82</v>
      </c>
      <c r="AG2" s="6" t="s">
        <v>40</v>
      </c>
      <c r="AH2" s="4" t="s">
        <v>102</v>
      </c>
      <c r="AI2" s="4" t="s">
        <v>44</v>
      </c>
      <c r="AJ2" s="4"/>
      <c r="AK2" s="8"/>
    </row>
    <row r="3" spans="1:37" s="6" customFormat="1" x14ac:dyDescent="0.25">
      <c r="A3" s="4" t="s">
        <v>103</v>
      </c>
      <c r="B3" s="4" t="s">
        <v>36</v>
      </c>
      <c r="C3" s="5" t="s">
        <v>37</v>
      </c>
      <c r="D3" s="4" t="s">
        <v>89</v>
      </c>
      <c r="E3" s="4" t="s">
        <v>60</v>
      </c>
      <c r="F3" s="4">
        <f>IF(NOT(ISERR(SEARCH("13C",E3,1))),1,0)</f>
        <v>1</v>
      </c>
      <c r="G3" s="4">
        <f>IF(OR(ISBLANK(E3),NOT(ISERR(SEARCH("[(M)]+",E3,1))),NOT(ISERR(SEARCH("[M+H]+",E3,1))),NOT(ISERR(SEARCH("[M-H]-",E3,1)))),0,1)</f>
        <v>1</v>
      </c>
      <c r="H3" s="4" t="s">
        <v>90</v>
      </c>
      <c r="I3" s="4">
        <v>204.08987999999999</v>
      </c>
      <c r="J3" s="4">
        <v>3.67</v>
      </c>
      <c r="K3" s="4">
        <v>160.09506999999999</v>
      </c>
      <c r="L3" s="4">
        <v>616202</v>
      </c>
      <c r="M3" s="4">
        <f>IF(AND(ISNUMBER(J3),ISNUMBER(K3)),1,2)</f>
        <v>1</v>
      </c>
      <c r="N3" s="4" t="s">
        <v>91</v>
      </c>
      <c r="O3" s="4" t="s">
        <v>92</v>
      </c>
      <c r="P3" s="6" t="s">
        <v>93</v>
      </c>
      <c r="Q3" s="6" t="s">
        <v>94</v>
      </c>
      <c r="R3" s="6" t="s">
        <v>95</v>
      </c>
      <c r="S3" s="6" t="s">
        <v>96</v>
      </c>
      <c r="T3" s="4" t="s">
        <v>97</v>
      </c>
      <c r="U3" s="6" t="s">
        <v>98</v>
      </c>
      <c r="V3" s="7">
        <v>27897</v>
      </c>
      <c r="W3" s="6" t="s">
        <v>99</v>
      </c>
      <c r="X3" s="6" t="s">
        <v>100</v>
      </c>
      <c r="Y3" s="6" t="s">
        <v>101</v>
      </c>
      <c r="Z3" s="6" t="s">
        <v>39</v>
      </c>
      <c r="AA3" s="6" t="s">
        <v>55</v>
      </c>
      <c r="AB3" s="6" t="s">
        <v>83</v>
      </c>
      <c r="AC3" s="6" t="s">
        <v>86</v>
      </c>
      <c r="AD3" s="6" t="s">
        <v>80</v>
      </c>
      <c r="AE3" s="6" t="s">
        <v>81</v>
      </c>
      <c r="AF3" s="6" t="s">
        <v>82</v>
      </c>
      <c r="AG3" s="6" t="s">
        <v>40</v>
      </c>
      <c r="AH3" s="4" t="s">
        <v>102</v>
      </c>
      <c r="AI3" s="4" t="s">
        <v>44</v>
      </c>
      <c r="AJ3" s="4"/>
      <c r="AK3" s="8"/>
    </row>
    <row r="4" spans="1:37" s="6" customFormat="1" x14ac:dyDescent="0.25">
      <c r="A4" s="4" t="s">
        <v>104</v>
      </c>
      <c r="B4" s="4" t="s">
        <v>36</v>
      </c>
      <c r="C4" s="5" t="s">
        <v>37</v>
      </c>
      <c r="D4" s="4" t="s">
        <v>89</v>
      </c>
      <c r="E4" s="4" t="s">
        <v>61</v>
      </c>
      <c r="F4" s="4">
        <f>IF(NOT(ISERR(SEARCH("13C",E4,1))),1,0)</f>
        <v>1</v>
      </c>
      <c r="G4" s="4">
        <f>IF(OR(ISBLANK(E4),NOT(ISERR(SEARCH("[(M)]+",E4,1))),NOT(ISERR(SEARCH("[M+H]+",E4,1))),NOT(ISERR(SEARCH("[M-H]-",E4,1)))),0,1)</f>
        <v>1</v>
      </c>
      <c r="H4" s="4" t="s">
        <v>90</v>
      </c>
      <c r="I4" s="4">
        <v>204.08987999999999</v>
      </c>
      <c r="J4" s="4">
        <v>3.67</v>
      </c>
      <c r="K4" s="4">
        <v>161.10082</v>
      </c>
      <c r="L4" s="4">
        <v>31998</v>
      </c>
      <c r="M4" s="4">
        <f>IF(AND(ISNUMBER(J4),ISNUMBER(K4)),1,2)</f>
        <v>1</v>
      </c>
      <c r="N4" s="4" t="s">
        <v>91</v>
      </c>
      <c r="O4" s="4" t="s">
        <v>92</v>
      </c>
      <c r="P4" s="6" t="s">
        <v>93</v>
      </c>
      <c r="Q4" s="6" t="s">
        <v>94</v>
      </c>
      <c r="R4" s="6" t="s">
        <v>95</v>
      </c>
      <c r="S4" s="6" t="s">
        <v>96</v>
      </c>
      <c r="T4" s="4" t="s">
        <v>97</v>
      </c>
      <c r="U4" s="6" t="s">
        <v>98</v>
      </c>
      <c r="V4" s="7">
        <v>27897</v>
      </c>
      <c r="W4" s="6" t="s">
        <v>99</v>
      </c>
      <c r="X4" s="6" t="s">
        <v>100</v>
      </c>
      <c r="Y4" s="6" t="s">
        <v>101</v>
      </c>
      <c r="Z4" s="6" t="s">
        <v>39</v>
      </c>
      <c r="AA4" s="6" t="s">
        <v>55</v>
      </c>
      <c r="AB4" s="6" t="s">
        <v>83</v>
      </c>
      <c r="AC4" s="6" t="s">
        <v>86</v>
      </c>
      <c r="AD4" s="6" t="s">
        <v>80</v>
      </c>
      <c r="AE4" s="6" t="s">
        <v>81</v>
      </c>
      <c r="AF4" s="6" t="s">
        <v>82</v>
      </c>
      <c r="AG4" s="6" t="s">
        <v>40</v>
      </c>
      <c r="AH4" s="4" t="s">
        <v>102</v>
      </c>
      <c r="AI4" s="4" t="s">
        <v>44</v>
      </c>
      <c r="AJ4" s="4"/>
      <c r="AK4" s="8"/>
    </row>
    <row r="5" spans="1:37" s="6" customFormat="1" x14ac:dyDescent="0.25">
      <c r="A5" s="4" t="s">
        <v>105</v>
      </c>
      <c r="B5" s="4" t="s">
        <v>36</v>
      </c>
      <c r="C5" s="5" t="s">
        <v>37</v>
      </c>
      <c r="D5" s="4" t="s">
        <v>89</v>
      </c>
      <c r="E5" s="4" t="s">
        <v>43</v>
      </c>
      <c r="F5" s="4">
        <f>IF(NOT(ISERR(SEARCH("13C",E5,1))),1,0)</f>
        <v>0</v>
      </c>
      <c r="G5" s="4">
        <f>IF(OR(ISBLANK(E5),NOT(ISERR(SEARCH("[(M)]+",E5,1))),NOT(ISERR(SEARCH("[M+H]+",E5,1))),NOT(ISERR(SEARCH("[M-H]-",E5,1)))),0,1)</f>
        <v>1</v>
      </c>
      <c r="H5" s="4" t="s">
        <v>90</v>
      </c>
      <c r="I5" s="4">
        <v>204.08987999999999</v>
      </c>
      <c r="J5" s="4">
        <v>3.67</v>
      </c>
      <c r="K5" s="4">
        <v>185.07211000000001</v>
      </c>
      <c r="L5" s="4">
        <v>262745</v>
      </c>
      <c r="M5" s="4">
        <f>IF(AND(ISNUMBER(J5),ISNUMBER(K5)),1,2)</f>
        <v>1</v>
      </c>
      <c r="N5" s="4" t="s">
        <v>91</v>
      </c>
      <c r="O5" s="4" t="s">
        <v>92</v>
      </c>
      <c r="P5" s="6" t="s">
        <v>93</v>
      </c>
      <c r="Q5" s="6" t="s">
        <v>94</v>
      </c>
      <c r="R5" s="6" t="s">
        <v>95</v>
      </c>
      <c r="S5" s="6" t="s">
        <v>96</v>
      </c>
      <c r="T5" s="4" t="s">
        <v>97</v>
      </c>
      <c r="U5" s="6" t="s">
        <v>98</v>
      </c>
      <c r="V5" s="7">
        <v>27897</v>
      </c>
      <c r="W5" s="6" t="s">
        <v>99</v>
      </c>
      <c r="X5" s="6" t="s">
        <v>100</v>
      </c>
      <c r="Y5" s="6" t="s">
        <v>101</v>
      </c>
      <c r="Z5" s="6" t="s">
        <v>39</v>
      </c>
      <c r="AA5" s="6" t="s">
        <v>55</v>
      </c>
      <c r="AB5" s="6" t="s">
        <v>83</v>
      </c>
      <c r="AC5" s="6" t="s">
        <v>86</v>
      </c>
      <c r="AD5" s="6" t="s">
        <v>80</v>
      </c>
      <c r="AE5" s="6" t="s">
        <v>81</v>
      </c>
      <c r="AF5" s="6" t="s">
        <v>82</v>
      </c>
      <c r="AG5" s="6" t="s">
        <v>40</v>
      </c>
      <c r="AH5" s="4" t="s">
        <v>102</v>
      </c>
      <c r="AI5" s="4" t="s">
        <v>44</v>
      </c>
      <c r="AJ5" s="4"/>
      <c r="AK5" s="8"/>
    </row>
    <row r="6" spans="1:37" s="6" customFormat="1" x14ac:dyDescent="0.25">
      <c r="A6" s="4" t="s">
        <v>106</v>
      </c>
      <c r="B6" s="4" t="s">
        <v>36</v>
      </c>
      <c r="C6" s="5" t="s">
        <v>37</v>
      </c>
      <c r="D6" s="4" t="s">
        <v>89</v>
      </c>
      <c r="E6" s="4" t="s">
        <v>38</v>
      </c>
      <c r="F6" s="4">
        <f>IF(NOT(ISERR(SEARCH("13C",E6,1))),1,0)</f>
        <v>0</v>
      </c>
      <c r="G6" s="4">
        <f>IF(OR(ISBLANK(E6),NOT(ISERR(SEARCH("[(M)]+",E6,1))),NOT(ISERR(SEARCH("[M+H]+",E6,1))),NOT(ISERR(SEARCH("[M-H]-",E6,1)))),0,1)</f>
        <v>0</v>
      </c>
      <c r="H6" s="4" t="s">
        <v>90</v>
      </c>
      <c r="I6" s="4">
        <v>204.08987999999999</v>
      </c>
      <c r="J6" s="4">
        <v>3.67</v>
      </c>
      <c r="K6" s="4">
        <v>203.08240000000001</v>
      </c>
      <c r="L6" s="4">
        <v>139378672</v>
      </c>
      <c r="M6" s="4">
        <f>IF(AND(ISNUMBER(J6),ISNUMBER(K6)),1,2)</f>
        <v>1</v>
      </c>
      <c r="N6" s="4" t="s">
        <v>91</v>
      </c>
      <c r="O6" s="4" t="s">
        <v>92</v>
      </c>
      <c r="P6" s="6" t="s">
        <v>93</v>
      </c>
      <c r="Q6" s="6" t="s">
        <v>94</v>
      </c>
      <c r="R6" s="6" t="s">
        <v>95</v>
      </c>
      <c r="S6" s="6" t="s">
        <v>96</v>
      </c>
      <c r="T6" s="4" t="s">
        <v>97</v>
      </c>
      <c r="U6" s="6" t="s">
        <v>98</v>
      </c>
      <c r="V6" s="7">
        <v>27897</v>
      </c>
      <c r="W6" s="6" t="s">
        <v>99</v>
      </c>
      <c r="X6" s="6" t="s">
        <v>100</v>
      </c>
      <c r="Y6" s="6" t="s">
        <v>101</v>
      </c>
      <c r="Z6" s="6" t="s">
        <v>39</v>
      </c>
      <c r="AA6" s="6" t="s">
        <v>55</v>
      </c>
      <c r="AB6" s="6" t="s">
        <v>83</v>
      </c>
      <c r="AC6" s="6" t="s">
        <v>86</v>
      </c>
      <c r="AD6" s="6" t="s">
        <v>80</v>
      </c>
      <c r="AE6" s="6" t="s">
        <v>81</v>
      </c>
      <c r="AF6" s="6" t="s">
        <v>82</v>
      </c>
      <c r="AG6" s="6" t="s">
        <v>40</v>
      </c>
      <c r="AH6" s="4" t="s">
        <v>102</v>
      </c>
      <c r="AI6" s="4" t="s">
        <v>44</v>
      </c>
      <c r="AJ6" s="4"/>
      <c r="AK6" s="8"/>
    </row>
    <row r="7" spans="1:37" s="6" customFormat="1" x14ac:dyDescent="0.25">
      <c r="A7" s="4" t="s">
        <v>107</v>
      </c>
      <c r="B7" s="4" t="s">
        <v>36</v>
      </c>
      <c r="C7" s="5" t="s">
        <v>37</v>
      </c>
      <c r="D7" s="4" t="s">
        <v>89</v>
      </c>
      <c r="E7" s="4" t="s">
        <v>45</v>
      </c>
      <c r="F7" s="4">
        <f>IF(NOT(ISERR(SEARCH("13C",E7,1))),1,0)</f>
        <v>1</v>
      </c>
      <c r="G7" s="4">
        <f>IF(OR(ISBLANK(E7),NOT(ISERR(SEARCH("[(M)]+",E7,1))),NOT(ISERR(SEARCH("[M+H]+",E7,1))),NOT(ISERR(SEARCH("[M-H]-",E7,1)))),0,1)</f>
        <v>0</v>
      </c>
      <c r="H7" s="4" t="s">
        <v>90</v>
      </c>
      <c r="I7" s="4">
        <v>204.08987999999999</v>
      </c>
      <c r="J7" s="4">
        <v>3.67</v>
      </c>
      <c r="K7" s="4">
        <v>204.08509000000001</v>
      </c>
      <c r="L7" s="4">
        <v>24143574</v>
      </c>
      <c r="M7" s="4">
        <f>IF(AND(ISNUMBER(J7),ISNUMBER(K7)),1,2)</f>
        <v>1</v>
      </c>
      <c r="N7" s="4" t="s">
        <v>91</v>
      </c>
      <c r="O7" s="4" t="s">
        <v>92</v>
      </c>
      <c r="P7" s="6" t="s">
        <v>93</v>
      </c>
      <c r="Q7" s="6" t="s">
        <v>94</v>
      </c>
      <c r="R7" s="6" t="s">
        <v>95</v>
      </c>
      <c r="S7" s="6" t="s">
        <v>96</v>
      </c>
      <c r="T7" s="4" t="s">
        <v>97</v>
      </c>
      <c r="U7" s="6" t="s">
        <v>98</v>
      </c>
      <c r="V7" s="7">
        <v>27897</v>
      </c>
      <c r="W7" s="6" t="s">
        <v>99</v>
      </c>
      <c r="X7" s="6" t="s">
        <v>100</v>
      </c>
      <c r="Y7" s="6" t="s">
        <v>101</v>
      </c>
      <c r="Z7" s="6" t="s">
        <v>39</v>
      </c>
      <c r="AA7" s="6" t="s">
        <v>55</v>
      </c>
      <c r="AB7" s="6" t="s">
        <v>83</v>
      </c>
      <c r="AC7" s="6" t="s">
        <v>86</v>
      </c>
      <c r="AD7" s="6" t="s">
        <v>80</v>
      </c>
      <c r="AE7" s="6" t="s">
        <v>81</v>
      </c>
      <c r="AF7" s="6" t="s">
        <v>82</v>
      </c>
      <c r="AG7" s="6" t="s">
        <v>40</v>
      </c>
      <c r="AH7" s="4" t="s">
        <v>102</v>
      </c>
      <c r="AI7" s="4" t="s">
        <v>44</v>
      </c>
      <c r="AJ7" s="4"/>
      <c r="AK7" s="8"/>
    </row>
    <row r="8" spans="1:37" s="6" customFormat="1" x14ac:dyDescent="0.25">
      <c r="A8" s="4" t="s">
        <v>108</v>
      </c>
      <c r="B8" s="4" t="s">
        <v>36</v>
      </c>
      <c r="C8" s="5" t="s">
        <v>37</v>
      </c>
      <c r="D8" s="4" t="s">
        <v>89</v>
      </c>
      <c r="E8" s="4" t="s">
        <v>46</v>
      </c>
      <c r="F8" s="4">
        <f>IF(NOT(ISERR(SEARCH("13C",E8,1))),1,0)</f>
        <v>1</v>
      </c>
      <c r="G8" s="4">
        <f>IF(OR(ISBLANK(E8),NOT(ISERR(SEARCH("[(M)]+",E8,1))),NOT(ISERR(SEARCH("[M+H]+",E8,1))),NOT(ISERR(SEARCH("[M-H]-",E8,1)))),0,1)</f>
        <v>0</v>
      </c>
      <c r="H8" s="4" t="s">
        <v>90</v>
      </c>
      <c r="I8" s="4">
        <v>204.08987999999999</v>
      </c>
      <c r="J8" s="4">
        <v>3.67</v>
      </c>
      <c r="K8" s="4">
        <v>205.08717999999999</v>
      </c>
      <c r="L8" s="4">
        <v>2255334</v>
      </c>
      <c r="M8" s="4">
        <f>IF(AND(ISNUMBER(J8),ISNUMBER(K8)),1,2)</f>
        <v>1</v>
      </c>
      <c r="N8" s="4" t="s">
        <v>91</v>
      </c>
      <c r="O8" s="4" t="s">
        <v>92</v>
      </c>
      <c r="P8" s="6" t="s">
        <v>93</v>
      </c>
      <c r="Q8" s="6" t="s">
        <v>94</v>
      </c>
      <c r="R8" s="6" t="s">
        <v>95</v>
      </c>
      <c r="S8" s="6" t="s">
        <v>96</v>
      </c>
      <c r="T8" s="4" t="s">
        <v>97</v>
      </c>
      <c r="U8" s="6" t="s">
        <v>98</v>
      </c>
      <c r="V8" s="7">
        <v>27897</v>
      </c>
      <c r="W8" s="6" t="s">
        <v>99</v>
      </c>
      <c r="X8" s="6" t="s">
        <v>100</v>
      </c>
      <c r="Y8" s="6" t="s">
        <v>101</v>
      </c>
      <c r="Z8" s="6" t="s">
        <v>39</v>
      </c>
      <c r="AA8" s="6" t="s">
        <v>55</v>
      </c>
      <c r="AB8" s="6" t="s">
        <v>83</v>
      </c>
      <c r="AC8" s="6" t="s">
        <v>86</v>
      </c>
      <c r="AD8" s="6" t="s">
        <v>80</v>
      </c>
      <c r="AE8" s="6" t="s">
        <v>81</v>
      </c>
      <c r="AF8" s="6" t="s">
        <v>82</v>
      </c>
      <c r="AG8" s="6" t="s">
        <v>40</v>
      </c>
      <c r="AH8" s="4" t="s">
        <v>102</v>
      </c>
      <c r="AI8" s="4" t="s">
        <v>44</v>
      </c>
      <c r="AJ8" s="4"/>
      <c r="AK8" s="8"/>
    </row>
    <row r="9" spans="1:37" s="6" customFormat="1" x14ac:dyDescent="0.25">
      <c r="A9" s="4" t="s">
        <v>109</v>
      </c>
      <c r="B9" s="4" t="s">
        <v>36</v>
      </c>
      <c r="C9" s="5" t="s">
        <v>37</v>
      </c>
      <c r="D9" s="4" t="s">
        <v>89</v>
      </c>
      <c r="E9" s="4" t="s">
        <v>47</v>
      </c>
      <c r="F9" s="4">
        <f>IF(NOT(ISERR(SEARCH("13C",E9,1))),1,0)</f>
        <v>1</v>
      </c>
      <c r="G9" s="4">
        <f>IF(OR(ISBLANK(E9),NOT(ISERR(SEARCH("[(M)]+",E9,1))),NOT(ISERR(SEARCH("[M+H]+",E9,1))),NOT(ISERR(SEARCH("[M-H]-",E9,1)))),0,1)</f>
        <v>0</v>
      </c>
      <c r="H9" s="4" t="s">
        <v>90</v>
      </c>
      <c r="I9" s="4">
        <v>204.08987999999999</v>
      </c>
      <c r="J9" s="4">
        <v>3.67</v>
      </c>
      <c r="K9" s="4">
        <v>206.08992000000001</v>
      </c>
      <c r="L9" s="4">
        <v>149124</v>
      </c>
      <c r="M9" s="4">
        <f>IF(AND(ISNUMBER(J9),ISNUMBER(K9)),1,2)</f>
        <v>1</v>
      </c>
      <c r="N9" s="4" t="s">
        <v>91</v>
      </c>
      <c r="O9" s="4" t="s">
        <v>92</v>
      </c>
      <c r="P9" s="6" t="s">
        <v>93</v>
      </c>
      <c r="Q9" s="6" t="s">
        <v>94</v>
      </c>
      <c r="R9" s="6" t="s">
        <v>95</v>
      </c>
      <c r="S9" s="6" t="s">
        <v>96</v>
      </c>
      <c r="T9" s="4" t="s">
        <v>97</v>
      </c>
      <c r="U9" s="6" t="s">
        <v>98</v>
      </c>
      <c r="V9" s="7">
        <v>27897</v>
      </c>
      <c r="W9" s="6" t="s">
        <v>99</v>
      </c>
      <c r="X9" s="6" t="s">
        <v>100</v>
      </c>
      <c r="Y9" s="6" t="s">
        <v>101</v>
      </c>
      <c r="Z9" s="6" t="s">
        <v>39</v>
      </c>
      <c r="AA9" s="6" t="s">
        <v>55</v>
      </c>
      <c r="AB9" s="6" t="s">
        <v>83</v>
      </c>
      <c r="AC9" s="6" t="s">
        <v>86</v>
      </c>
      <c r="AD9" s="6" t="s">
        <v>80</v>
      </c>
      <c r="AE9" s="6" t="s">
        <v>81</v>
      </c>
      <c r="AF9" s="6" t="s">
        <v>82</v>
      </c>
      <c r="AG9" s="6" t="s">
        <v>40</v>
      </c>
      <c r="AH9" s="4" t="s">
        <v>102</v>
      </c>
      <c r="AI9" s="4" t="s">
        <v>44</v>
      </c>
      <c r="AJ9" s="4"/>
      <c r="AK9" s="8"/>
    </row>
    <row r="10" spans="1:37" s="6" customFormat="1" x14ac:dyDescent="0.25">
      <c r="A10" s="4" t="s">
        <v>110</v>
      </c>
      <c r="B10" s="4" t="s">
        <v>36</v>
      </c>
      <c r="C10" s="5" t="s">
        <v>37</v>
      </c>
      <c r="D10" s="4" t="s">
        <v>89</v>
      </c>
      <c r="E10" s="4" t="s">
        <v>62</v>
      </c>
      <c r="F10" s="4">
        <f>IF(NOT(ISERR(SEARCH("13C",E10,1))),1,0)</f>
        <v>1</v>
      </c>
      <c r="G10" s="4">
        <f>IF(OR(ISBLANK(E10),NOT(ISERR(SEARCH("[(M)]+",E10,1))),NOT(ISERR(SEARCH("[M+H]+",E10,1))),NOT(ISERR(SEARCH("[M-H]-",E10,1)))),0,1)</f>
        <v>0</v>
      </c>
      <c r="H10" s="4" t="s">
        <v>90</v>
      </c>
      <c r="I10" s="4">
        <v>204.08987999999999</v>
      </c>
      <c r="J10" s="4">
        <v>3.67</v>
      </c>
      <c r="K10" s="4">
        <v>207.09016</v>
      </c>
      <c r="L10" s="4">
        <v>26423</v>
      </c>
      <c r="M10" s="4">
        <f>IF(AND(ISNUMBER(J10),ISNUMBER(K10)),1,2)</f>
        <v>1</v>
      </c>
      <c r="N10" s="4" t="s">
        <v>91</v>
      </c>
      <c r="O10" s="4" t="s">
        <v>92</v>
      </c>
      <c r="P10" s="6" t="s">
        <v>93</v>
      </c>
      <c r="Q10" s="6" t="s">
        <v>94</v>
      </c>
      <c r="R10" s="6" t="s">
        <v>95</v>
      </c>
      <c r="S10" s="6" t="s">
        <v>96</v>
      </c>
      <c r="T10" s="4" t="s">
        <v>97</v>
      </c>
      <c r="U10" s="6" t="s">
        <v>98</v>
      </c>
      <c r="V10" s="7">
        <v>27897</v>
      </c>
      <c r="W10" s="6" t="s">
        <v>99</v>
      </c>
      <c r="X10" s="6" t="s">
        <v>100</v>
      </c>
      <c r="Y10" s="6" t="s">
        <v>101</v>
      </c>
      <c r="Z10" s="6" t="s">
        <v>39</v>
      </c>
      <c r="AA10" s="6" t="s">
        <v>55</v>
      </c>
      <c r="AB10" s="6" t="s">
        <v>83</v>
      </c>
      <c r="AC10" s="6" t="s">
        <v>86</v>
      </c>
      <c r="AD10" s="6" t="s">
        <v>80</v>
      </c>
      <c r="AE10" s="6" t="s">
        <v>81</v>
      </c>
      <c r="AF10" s="6" t="s">
        <v>82</v>
      </c>
      <c r="AG10" s="6" t="s">
        <v>40</v>
      </c>
      <c r="AH10" s="4" t="s">
        <v>102</v>
      </c>
      <c r="AI10" s="4" t="s">
        <v>44</v>
      </c>
      <c r="AJ10" s="4"/>
      <c r="AK10" s="8"/>
    </row>
    <row r="11" spans="1:37" s="6" customFormat="1" x14ac:dyDescent="0.25">
      <c r="A11" s="4" t="s">
        <v>111</v>
      </c>
      <c r="B11" s="4" t="s">
        <v>36</v>
      </c>
      <c r="C11" s="5" t="s">
        <v>37</v>
      </c>
      <c r="D11" s="4" t="s">
        <v>89</v>
      </c>
      <c r="E11" s="4" t="s">
        <v>63</v>
      </c>
      <c r="F11" s="4">
        <f>IF(NOT(ISERR(SEARCH("13C",E11,1))),1,0)</f>
        <v>0</v>
      </c>
      <c r="G11" s="4">
        <f>IF(OR(ISBLANK(E11),NOT(ISERR(SEARCH("[(M)]+",E11,1))),NOT(ISERR(SEARCH("[M+H]+",E11,1))),NOT(ISERR(SEARCH("[M-H]-",E11,1)))),0,1)</f>
        <v>1</v>
      </c>
      <c r="H11" s="4" t="s">
        <v>90</v>
      </c>
      <c r="I11" s="4">
        <v>204.08987999999999</v>
      </c>
      <c r="J11" s="4">
        <v>3.67</v>
      </c>
      <c r="K11" s="4">
        <v>225.06381999999999</v>
      </c>
      <c r="L11" s="4">
        <v>1576285</v>
      </c>
      <c r="M11" s="4">
        <f>IF(AND(ISNUMBER(J11),ISNUMBER(K11)),1,2)</f>
        <v>1</v>
      </c>
      <c r="N11" s="4" t="s">
        <v>91</v>
      </c>
      <c r="O11" s="4" t="s">
        <v>92</v>
      </c>
      <c r="P11" s="6" t="s">
        <v>93</v>
      </c>
      <c r="Q11" s="6" t="s">
        <v>94</v>
      </c>
      <c r="R11" s="6" t="s">
        <v>95</v>
      </c>
      <c r="S11" s="6" t="s">
        <v>96</v>
      </c>
      <c r="T11" s="4" t="s">
        <v>97</v>
      </c>
      <c r="U11" s="6" t="s">
        <v>98</v>
      </c>
      <c r="V11" s="7">
        <v>27897</v>
      </c>
      <c r="W11" s="6" t="s">
        <v>99</v>
      </c>
      <c r="X11" s="6" t="s">
        <v>100</v>
      </c>
      <c r="Y11" s="6" t="s">
        <v>101</v>
      </c>
      <c r="Z11" s="6" t="s">
        <v>39</v>
      </c>
      <c r="AA11" s="6" t="s">
        <v>55</v>
      </c>
      <c r="AB11" s="6" t="s">
        <v>83</v>
      </c>
      <c r="AC11" s="6" t="s">
        <v>86</v>
      </c>
      <c r="AD11" s="6" t="s">
        <v>80</v>
      </c>
      <c r="AE11" s="6" t="s">
        <v>81</v>
      </c>
      <c r="AF11" s="6" t="s">
        <v>82</v>
      </c>
      <c r="AG11" s="6" t="s">
        <v>40</v>
      </c>
      <c r="AH11" s="4" t="s">
        <v>102</v>
      </c>
      <c r="AI11" s="4" t="s">
        <v>44</v>
      </c>
      <c r="AJ11" s="4"/>
      <c r="AK11" s="8"/>
    </row>
    <row r="12" spans="1:37" s="6" customFormat="1" x14ac:dyDescent="0.25">
      <c r="A12" s="4" t="s">
        <v>112</v>
      </c>
      <c r="B12" s="4" t="s">
        <v>36</v>
      </c>
      <c r="C12" s="5" t="s">
        <v>37</v>
      </c>
      <c r="D12" s="4" t="s">
        <v>89</v>
      </c>
      <c r="E12" s="4" t="s">
        <v>64</v>
      </c>
      <c r="F12" s="4">
        <f>IF(NOT(ISERR(SEARCH("13C",E12,1))),1,0)</f>
        <v>1</v>
      </c>
      <c r="G12" s="4">
        <f>IF(OR(ISBLANK(E12),NOT(ISERR(SEARCH("[(M)]+",E12,1))),NOT(ISERR(SEARCH("[M+H]+",E12,1))),NOT(ISERR(SEARCH("[M-H]-",E12,1)))),0,1)</f>
        <v>1</v>
      </c>
      <c r="H12" s="4" t="s">
        <v>90</v>
      </c>
      <c r="I12" s="4">
        <v>204.08987999999999</v>
      </c>
      <c r="J12" s="4">
        <v>3.67</v>
      </c>
      <c r="K12" s="4">
        <v>226.06709000000001</v>
      </c>
      <c r="L12" s="4">
        <v>213647</v>
      </c>
      <c r="M12" s="4">
        <f>IF(AND(ISNUMBER(J12),ISNUMBER(K12)),1,2)</f>
        <v>1</v>
      </c>
      <c r="N12" s="4" t="s">
        <v>91</v>
      </c>
      <c r="O12" s="4" t="s">
        <v>92</v>
      </c>
      <c r="P12" s="6" t="s">
        <v>93</v>
      </c>
      <c r="Q12" s="6" t="s">
        <v>94</v>
      </c>
      <c r="R12" s="6" t="s">
        <v>95</v>
      </c>
      <c r="S12" s="6" t="s">
        <v>96</v>
      </c>
      <c r="T12" s="4" t="s">
        <v>97</v>
      </c>
      <c r="U12" s="6" t="s">
        <v>98</v>
      </c>
      <c r="V12" s="7">
        <v>27897</v>
      </c>
      <c r="W12" s="6" t="s">
        <v>99</v>
      </c>
      <c r="X12" s="6" t="s">
        <v>100</v>
      </c>
      <c r="Y12" s="6" t="s">
        <v>101</v>
      </c>
      <c r="Z12" s="6" t="s">
        <v>39</v>
      </c>
      <c r="AA12" s="6" t="s">
        <v>55</v>
      </c>
      <c r="AB12" s="6" t="s">
        <v>83</v>
      </c>
      <c r="AC12" s="6" t="s">
        <v>86</v>
      </c>
      <c r="AD12" s="6" t="s">
        <v>80</v>
      </c>
      <c r="AE12" s="6" t="s">
        <v>81</v>
      </c>
      <c r="AF12" s="6" t="s">
        <v>82</v>
      </c>
      <c r="AG12" s="6" t="s">
        <v>40</v>
      </c>
      <c r="AH12" s="4" t="s">
        <v>102</v>
      </c>
      <c r="AI12" s="4" t="s">
        <v>44</v>
      </c>
      <c r="AJ12" s="4"/>
      <c r="AK12" s="8"/>
    </row>
    <row r="13" spans="1:37" s="6" customFormat="1" x14ac:dyDescent="0.25">
      <c r="A13" s="4" t="s">
        <v>113</v>
      </c>
      <c r="B13" s="4" t="s">
        <v>36</v>
      </c>
      <c r="C13" s="5" t="s">
        <v>37</v>
      </c>
      <c r="D13" s="4" t="s">
        <v>89</v>
      </c>
      <c r="E13" s="4" t="s">
        <v>65</v>
      </c>
      <c r="F13" s="4">
        <f>IF(NOT(ISERR(SEARCH("13C",E13,1))),1,0)</f>
        <v>1</v>
      </c>
      <c r="G13" s="4">
        <f>IF(OR(ISBLANK(E13),NOT(ISERR(SEARCH("[(M)]+",E13,1))),NOT(ISERR(SEARCH("[M+H]+",E13,1))),NOT(ISERR(SEARCH("[M-H]-",E13,1)))),0,1)</f>
        <v>1</v>
      </c>
      <c r="H13" s="4" t="s">
        <v>90</v>
      </c>
      <c r="I13" s="4">
        <v>204.08987999999999</v>
      </c>
      <c r="J13" s="4">
        <v>3.67</v>
      </c>
      <c r="K13" s="4">
        <v>227.06741</v>
      </c>
      <c r="L13" s="4">
        <v>38275</v>
      </c>
      <c r="M13" s="4">
        <f>IF(AND(ISNUMBER(J13),ISNUMBER(K13)),1,2)</f>
        <v>1</v>
      </c>
      <c r="N13" s="4" t="s">
        <v>91</v>
      </c>
      <c r="O13" s="4" t="s">
        <v>92</v>
      </c>
      <c r="P13" s="6" t="s">
        <v>93</v>
      </c>
      <c r="Q13" s="6" t="s">
        <v>94</v>
      </c>
      <c r="R13" s="6" t="s">
        <v>95</v>
      </c>
      <c r="S13" s="6" t="s">
        <v>96</v>
      </c>
      <c r="T13" s="4" t="s">
        <v>97</v>
      </c>
      <c r="U13" s="6" t="s">
        <v>98</v>
      </c>
      <c r="V13" s="7">
        <v>27897</v>
      </c>
      <c r="W13" s="6" t="s">
        <v>99</v>
      </c>
      <c r="X13" s="6" t="s">
        <v>100</v>
      </c>
      <c r="Y13" s="6" t="s">
        <v>101</v>
      </c>
      <c r="Z13" s="6" t="s">
        <v>39</v>
      </c>
      <c r="AA13" s="6" t="s">
        <v>55</v>
      </c>
      <c r="AB13" s="6" t="s">
        <v>83</v>
      </c>
      <c r="AC13" s="6" t="s">
        <v>86</v>
      </c>
      <c r="AD13" s="6" t="s">
        <v>80</v>
      </c>
      <c r="AE13" s="6" t="s">
        <v>81</v>
      </c>
      <c r="AF13" s="6" t="s">
        <v>82</v>
      </c>
      <c r="AG13" s="6" t="s">
        <v>40</v>
      </c>
      <c r="AH13" s="4" t="s">
        <v>102</v>
      </c>
      <c r="AI13" s="4" t="s">
        <v>44</v>
      </c>
      <c r="AJ13" s="4"/>
      <c r="AK13" s="8"/>
    </row>
    <row r="14" spans="1:37" s="6" customFormat="1" x14ac:dyDescent="0.25">
      <c r="A14" s="4" t="s">
        <v>114</v>
      </c>
      <c r="B14" s="4" t="s">
        <v>36</v>
      </c>
      <c r="C14" s="5" t="s">
        <v>37</v>
      </c>
      <c r="D14" s="4" t="s">
        <v>89</v>
      </c>
      <c r="E14" s="4" t="s">
        <v>66</v>
      </c>
      <c r="F14" s="4">
        <f>IF(NOT(ISERR(SEARCH("13C",E14,1))),1,0)</f>
        <v>0</v>
      </c>
      <c r="G14" s="4">
        <f>IF(OR(ISBLANK(E14),NOT(ISERR(SEARCH("[(M)]+",E14,1))),NOT(ISERR(SEARCH("[M+H]+",E14,1))),NOT(ISERR(SEARCH("[M-H]-",E14,1)))),0,1)</f>
        <v>1</v>
      </c>
      <c r="H14" s="4" t="s">
        <v>90</v>
      </c>
      <c r="I14" s="4">
        <v>204.08987999999999</v>
      </c>
      <c r="J14" s="4">
        <v>3.67</v>
      </c>
      <c r="K14" s="4">
        <v>239.06086999999999</v>
      </c>
      <c r="L14" s="4">
        <v>24127</v>
      </c>
      <c r="M14" s="4">
        <f>IF(AND(ISNUMBER(J14),ISNUMBER(K14)),1,2)</f>
        <v>1</v>
      </c>
      <c r="N14" s="4" t="s">
        <v>91</v>
      </c>
      <c r="O14" s="4" t="s">
        <v>92</v>
      </c>
      <c r="P14" s="6" t="s">
        <v>93</v>
      </c>
      <c r="Q14" s="6" t="s">
        <v>94</v>
      </c>
      <c r="R14" s="6" t="s">
        <v>95</v>
      </c>
      <c r="S14" s="6" t="s">
        <v>96</v>
      </c>
      <c r="T14" s="4" t="s">
        <v>97</v>
      </c>
      <c r="U14" s="6" t="s">
        <v>98</v>
      </c>
      <c r="V14" s="7">
        <v>27897</v>
      </c>
      <c r="W14" s="6" t="s">
        <v>99</v>
      </c>
      <c r="X14" s="6" t="s">
        <v>100</v>
      </c>
      <c r="Y14" s="6" t="s">
        <v>101</v>
      </c>
      <c r="Z14" s="6" t="s">
        <v>39</v>
      </c>
      <c r="AA14" s="6" t="s">
        <v>55</v>
      </c>
      <c r="AB14" s="6" t="s">
        <v>83</v>
      </c>
      <c r="AC14" s="6" t="s">
        <v>86</v>
      </c>
      <c r="AD14" s="6" t="s">
        <v>80</v>
      </c>
      <c r="AE14" s="6" t="s">
        <v>81</v>
      </c>
      <c r="AF14" s="6" t="s">
        <v>82</v>
      </c>
      <c r="AG14" s="6" t="s">
        <v>40</v>
      </c>
      <c r="AH14" s="4" t="s">
        <v>102</v>
      </c>
      <c r="AI14" s="4" t="s">
        <v>44</v>
      </c>
      <c r="AJ14" s="4"/>
      <c r="AK14" s="8"/>
    </row>
    <row r="15" spans="1:37" s="6" customFormat="1" x14ac:dyDescent="0.25">
      <c r="A15" s="4" t="s">
        <v>115</v>
      </c>
      <c r="B15" s="4" t="s">
        <v>36</v>
      </c>
      <c r="C15" s="5" t="s">
        <v>37</v>
      </c>
      <c r="D15" s="4" t="s">
        <v>89</v>
      </c>
      <c r="E15" s="4" t="s">
        <v>67</v>
      </c>
      <c r="F15" s="4">
        <f>IF(NOT(ISERR(SEARCH("13C",E15,1))),1,0)</f>
        <v>0</v>
      </c>
      <c r="G15" s="4">
        <f>IF(OR(ISBLANK(E15),NOT(ISERR(SEARCH("[(M)]+",E15,1))),NOT(ISERR(SEARCH("[M+H]+",E15,1))),NOT(ISERR(SEARCH("[M-H]-",E15,1)))),0,1)</f>
        <v>1</v>
      </c>
      <c r="H15" s="4" t="s">
        <v>90</v>
      </c>
      <c r="I15" s="4">
        <v>204.08987999999999</v>
      </c>
      <c r="J15" s="4">
        <v>3.67</v>
      </c>
      <c r="K15" s="4">
        <v>241.03764000000001</v>
      </c>
      <c r="L15" s="4">
        <v>1498511</v>
      </c>
      <c r="M15" s="4">
        <f>IF(AND(ISNUMBER(J15),ISNUMBER(K15)),1,2)</f>
        <v>1</v>
      </c>
      <c r="N15" s="4" t="s">
        <v>91</v>
      </c>
      <c r="O15" s="4" t="s">
        <v>92</v>
      </c>
      <c r="P15" s="6" t="s">
        <v>93</v>
      </c>
      <c r="Q15" s="6" t="s">
        <v>94</v>
      </c>
      <c r="R15" s="6" t="s">
        <v>95</v>
      </c>
      <c r="S15" s="6" t="s">
        <v>96</v>
      </c>
      <c r="T15" s="4" t="s">
        <v>97</v>
      </c>
      <c r="U15" s="6" t="s">
        <v>98</v>
      </c>
      <c r="V15" s="7">
        <v>27897</v>
      </c>
      <c r="W15" s="6" t="s">
        <v>99</v>
      </c>
      <c r="X15" s="6" t="s">
        <v>100</v>
      </c>
      <c r="Y15" s="6" t="s">
        <v>101</v>
      </c>
      <c r="Z15" s="6" t="s">
        <v>39</v>
      </c>
      <c r="AA15" s="6" t="s">
        <v>55</v>
      </c>
      <c r="AB15" s="6" t="s">
        <v>83</v>
      </c>
      <c r="AC15" s="6" t="s">
        <v>86</v>
      </c>
      <c r="AD15" s="6" t="s">
        <v>80</v>
      </c>
      <c r="AE15" s="6" t="s">
        <v>81</v>
      </c>
      <c r="AF15" s="6" t="s">
        <v>82</v>
      </c>
      <c r="AG15" s="6" t="s">
        <v>40</v>
      </c>
      <c r="AH15" s="4" t="s">
        <v>102</v>
      </c>
      <c r="AI15" s="4" t="s">
        <v>44</v>
      </c>
      <c r="AJ15" s="4"/>
      <c r="AK15" s="8"/>
    </row>
    <row r="16" spans="1:37" s="6" customFormat="1" x14ac:dyDescent="0.25">
      <c r="A16" s="4" t="s">
        <v>116</v>
      </c>
      <c r="B16" s="4" t="s">
        <v>36</v>
      </c>
      <c r="C16" s="5" t="s">
        <v>37</v>
      </c>
      <c r="D16" s="4" t="s">
        <v>89</v>
      </c>
      <c r="E16" s="4" t="s">
        <v>68</v>
      </c>
      <c r="F16" s="4">
        <f>IF(NOT(ISERR(SEARCH("13C",E16,1))),1,0)</f>
        <v>1</v>
      </c>
      <c r="G16" s="4">
        <f>IF(OR(ISBLANK(E16),NOT(ISERR(SEARCH("[(M)]+",E16,1))),NOT(ISERR(SEARCH("[M+H]+",E16,1))),NOT(ISERR(SEARCH("[M-H]-",E16,1)))),0,1)</f>
        <v>1</v>
      </c>
      <c r="H16" s="4" t="s">
        <v>90</v>
      </c>
      <c r="I16" s="4">
        <v>204.08987999999999</v>
      </c>
      <c r="J16" s="4">
        <v>3.67</v>
      </c>
      <c r="K16" s="4">
        <v>242.04136</v>
      </c>
      <c r="L16" s="4">
        <v>195097</v>
      </c>
      <c r="M16" s="4">
        <f>IF(AND(ISNUMBER(J16),ISNUMBER(K16)),1,2)</f>
        <v>1</v>
      </c>
      <c r="N16" s="4" t="s">
        <v>91</v>
      </c>
      <c r="O16" s="4" t="s">
        <v>92</v>
      </c>
      <c r="P16" s="6" t="s">
        <v>93</v>
      </c>
      <c r="Q16" s="6" t="s">
        <v>94</v>
      </c>
      <c r="R16" s="6" t="s">
        <v>95</v>
      </c>
      <c r="S16" s="6" t="s">
        <v>96</v>
      </c>
      <c r="T16" s="4" t="s">
        <v>97</v>
      </c>
      <c r="U16" s="6" t="s">
        <v>98</v>
      </c>
      <c r="V16" s="7">
        <v>27897</v>
      </c>
      <c r="W16" s="6" t="s">
        <v>99</v>
      </c>
      <c r="X16" s="6" t="s">
        <v>100</v>
      </c>
      <c r="Y16" s="6" t="s">
        <v>101</v>
      </c>
      <c r="Z16" s="6" t="s">
        <v>39</v>
      </c>
      <c r="AA16" s="6" t="s">
        <v>55</v>
      </c>
      <c r="AB16" s="6" t="s">
        <v>83</v>
      </c>
      <c r="AC16" s="6" t="s">
        <v>86</v>
      </c>
      <c r="AD16" s="6" t="s">
        <v>80</v>
      </c>
      <c r="AE16" s="6" t="s">
        <v>81</v>
      </c>
      <c r="AF16" s="6" t="s">
        <v>82</v>
      </c>
      <c r="AG16" s="6" t="s">
        <v>40</v>
      </c>
      <c r="AH16" s="4" t="s">
        <v>102</v>
      </c>
      <c r="AI16" s="4" t="s">
        <v>44</v>
      </c>
      <c r="AJ16" s="4"/>
      <c r="AK16" s="8"/>
    </row>
    <row r="17" spans="1:37" s="6" customFormat="1" x14ac:dyDescent="0.25">
      <c r="A17" s="4" t="s">
        <v>117</v>
      </c>
      <c r="B17" s="4" t="s">
        <v>36</v>
      </c>
      <c r="C17" s="5" t="s">
        <v>37</v>
      </c>
      <c r="D17" s="4" t="s">
        <v>89</v>
      </c>
      <c r="E17" s="4" t="s">
        <v>69</v>
      </c>
      <c r="F17" s="4">
        <f>IF(NOT(ISERR(SEARCH("13C",E17,1))),1,0)</f>
        <v>1</v>
      </c>
      <c r="G17" s="4">
        <f>IF(OR(ISBLANK(E17),NOT(ISERR(SEARCH("[(M)]+",E17,1))),NOT(ISERR(SEARCH("[M+H]+",E17,1))),NOT(ISERR(SEARCH("[M-H]-",E17,1)))),0,1)</f>
        <v>1</v>
      </c>
      <c r="H17" s="4" t="s">
        <v>90</v>
      </c>
      <c r="I17" s="4">
        <v>204.08987999999999</v>
      </c>
      <c r="J17" s="4">
        <v>3.67</v>
      </c>
      <c r="K17" s="4">
        <v>243.03662</v>
      </c>
      <c r="L17" s="4">
        <v>142058</v>
      </c>
      <c r="M17" s="4">
        <f>IF(AND(ISNUMBER(J17),ISNUMBER(K17)),1,2)</f>
        <v>1</v>
      </c>
      <c r="N17" s="4" t="s">
        <v>91</v>
      </c>
      <c r="O17" s="4" t="s">
        <v>92</v>
      </c>
      <c r="P17" s="6" t="s">
        <v>93</v>
      </c>
      <c r="Q17" s="6" t="s">
        <v>94</v>
      </c>
      <c r="R17" s="6" t="s">
        <v>95</v>
      </c>
      <c r="S17" s="6" t="s">
        <v>96</v>
      </c>
      <c r="T17" s="4" t="s">
        <v>97</v>
      </c>
      <c r="U17" s="6" t="s">
        <v>98</v>
      </c>
      <c r="V17" s="7">
        <v>27897</v>
      </c>
      <c r="W17" s="6" t="s">
        <v>99</v>
      </c>
      <c r="X17" s="6" t="s">
        <v>100</v>
      </c>
      <c r="Y17" s="6" t="s">
        <v>101</v>
      </c>
      <c r="Z17" s="6" t="s">
        <v>39</v>
      </c>
      <c r="AA17" s="6" t="s">
        <v>55</v>
      </c>
      <c r="AB17" s="6" t="s">
        <v>83</v>
      </c>
      <c r="AC17" s="6" t="s">
        <v>86</v>
      </c>
      <c r="AD17" s="6" t="s">
        <v>80</v>
      </c>
      <c r="AE17" s="6" t="s">
        <v>81</v>
      </c>
      <c r="AF17" s="6" t="s">
        <v>82</v>
      </c>
      <c r="AG17" s="6" t="s">
        <v>40</v>
      </c>
      <c r="AH17" s="4" t="s">
        <v>102</v>
      </c>
      <c r="AI17" s="4" t="s">
        <v>44</v>
      </c>
      <c r="AJ17" s="4"/>
      <c r="AK17" s="8"/>
    </row>
    <row r="18" spans="1:37" s="6" customFormat="1" x14ac:dyDescent="0.25">
      <c r="A18" s="4" t="s">
        <v>118</v>
      </c>
      <c r="B18" s="4" t="s">
        <v>36</v>
      </c>
      <c r="C18" s="5" t="s">
        <v>37</v>
      </c>
      <c r="D18" s="4" t="s">
        <v>89</v>
      </c>
      <c r="E18" s="4" t="s">
        <v>70</v>
      </c>
      <c r="F18" s="4">
        <f>IF(NOT(ISERR(SEARCH("13C",E18,1))),1,0)</f>
        <v>1</v>
      </c>
      <c r="G18" s="4">
        <f>IF(OR(ISBLANK(E18),NOT(ISERR(SEARCH("[(M)]+",E18,1))),NOT(ISERR(SEARCH("[M+H]+",E18,1))),NOT(ISERR(SEARCH("[M-H]-",E18,1)))),0,1)</f>
        <v>1</v>
      </c>
      <c r="H18" s="4" t="s">
        <v>90</v>
      </c>
      <c r="I18" s="4">
        <v>204.08987999999999</v>
      </c>
      <c r="J18" s="4">
        <v>3.67</v>
      </c>
      <c r="K18" s="4">
        <v>244.03799000000001</v>
      </c>
      <c r="L18" s="4">
        <v>36734</v>
      </c>
      <c r="M18" s="4">
        <f>IF(AND(ISNUMBER(J18),ISNUMBER(K18)),1,2)</f>
        <v>1</v>
      </c>
      <c r="N18" s="4" t="s">
        <v>91</v>
      </c>
      <c r="O18" s="4" t="s">
        <v>92</v>
      </c>
      <c r="P18" s="6" t="s">
        <v>93</v>
      </c>
      <c r="Q18" s="6" t="s">
        <v>94</v>
      </c>
      <c r="R18" s="6" t="s">
        <v>95</v>
      </c>
      <c r="S18" s="6" t="s">
        <v>96</v>
      </c>
      <c r="T18" s="4" t="s">
        <v>97</v>
      </c>
      <c r="U18" s="6" t="s">
        <v>98</v>
      </c>
      <c r="V18" s="7">
        <v>27897</v>
      </c>
      <c r="W18" s="6" t="s">
        <v>99</v>
      </c>
      <c r="X18" s="6" t="s">
        <v>100</v>
      </c>
      <c r="Y18" s="6" t="s">
        <v>101</v>
      </c>
      <c r="Z18" s="6" t="s">
        <v>39</v>
      </c>
      <c r="AA18" s="6" t="s">
        <v>55</v>
      </c>
      <c r="AB18" s="6" t="s">
        <v>83</v>
      </c>
      <c r="AC18" s="6" t="s">
        <v>86</v>
      </c>
      <c r="AD18" s="6" t="s">
        <v>80</v>
      </c>
      <c r="AE18" s="6" t="s">
        <v>81</v>
      </c>
      <c r="AF18" s="6" t="s">
        <v>82</v>
      </c>
      <c r="AG18" s="6" t="s">
        <v>40</v>
      </c>
      <c r="AH18" s="4" t="s">
        <v>102</v>
      </c>
      <c r="AI18" s="4" t="s">
        <v>44</v>
      </c>
      <c r="AJ18" s="4"/>
      <c r="AK18" s="8"/>
    </row>
    <row r="19" spans="1:37" s="6" customFormat="1" x14ac:dyDescent="0.25">
      <c r="A19" s="4" t="s">
        <v>119</v>
      </c>
      <c r="B19" s="4" t="s">
        <v>36</v>
      </c>
      <c r="C19" s="5" t="s">
        <v>37</v>
      </c>
      <c r="D19" s="4" t="s">
        <v>89</v>
      </c>
      <c r="E19" s="4" t="s">
        <v>48</v>
      </c>
      <c r="F19" s="4">
        <f>IF(NOT(ISERR(SEARCH("13C",E19,1))),1,0)</f>
        <v>0</v>
      </c>
      <c r="G19" s="4">
        <f>IF(OR(ISBLANK(E19),NOT(ISERR(SEARCH("[(M)]+",E19,1))),NOT(ISERR(SEARCH("[M+H]+",E19,1))),NOT(ISERR(SEARCH("[M-H]-",E19,1)))),0,1)</f>
        <v>1</v>
      </c>
      <c r="H19" s="4" t="s">
        <v>90</v>
      </c>
      <c r="I19" s="4">
        <v>204.08987999999999</v>
      </c>
      <c r="J19" s="4">
        <v>3.67</v>
      </c>
      <c r="K19" s="4">
        <v>261.04059999999998</v>
      </c>
      <c r="L19" s="4">
        <v>375357</v>
      </c>
      <c r="M19" s="4">
        <f>IF(AND(ISNUMBER(J19),ISNUMBER(K19)),1,2)</f>
        <v>1</v>
      </c>
      <c r="N19" s="4" t="s">
        <v>91</v>
      </c>
      <c r="O19" s="4" t="s">
        <v>92</v>
      </c>
      <c r="P19" s="6" t="s">
        <v>93</v>
      </c>
      <c r="Q19" s="6" t="s">
        <v>94</v>
      </c>
      <c r="R19" s="6" t="s">
        <v>95</v>
      </c>
      <c r="S19" s="6" t="s">
        <v>96</v>
      </c>
      <c r="T19" s="4" t="s">
        <v>97</v>
      </c>
      <c r="U19" s="6" t="s">
        <v>98</v>
      </c>
      <c r="V19" s="7">
        <v>27897</v>
      </c>
      <c r="W19" s="6" t="s">
        <v>99</v>
      </c>
      <c r="X19" s="6" t="s">
        <v>100</v>
      </c>
      <c r="Y19" s="6" t="s">
        <v>101</v>
      </c>
      <c r="Z19" s="6" t="s">
        <v>39</v>
      </c>
      <c r="AA19" s="6" t="s">
        <v>55</v>
      </c>
      <c r="AB19" s="6" t="s">
        <v>83</v>
      </c>
      <c r="AC19" s="6" t="s">
        <v>86</v>
      </c>
      <c r="AD19" s="6" t="s">
        <v>80</v>
      </c>
      <c r="AE19" s="6" t="s">
        <v>81</v>
      </c>
      <c r="AF19" s="6" t="s">
        <v>82</v>
      </c>
      <c r="AG19" s="6" t="s">
        <v>40</v>
      </c>
      <c r="AH19" s="4" t="s">
        <v>102</v>
      </c>
      <c r="AI19" s="4" t="s">
        <v>44</v>
      </c>
      <c r="AJ19" s="4"/>
      <c r="AK19" s="8"/>
    </row>
    <row r="20" spans="1:37" s="6" customFormat="1" x14ac:dyDescent="0.25">
      <c r="A20" s="4" t="s">
        <v>120</v>
      </c>
      <c r="B20" s="4" t="s">
        <v>36</v>
      </c>
      <c r="C20" s="5" t="s">
        <v>37</v>
      </c>
      <c r="D20" s="4" t="s">
        <v>89</v>
      </c>
      <c r="E20" s="4" t="s">
        <v>49</v>
      </c>
      <c r="F20" s="4">
        <f>IF(NOT(ISERR(SEARCH("13C",E20,1))),1,0)</f>
        <v>1</v>
      </c>
      <c r="G20" s="4">
        <f>IF(OR(ISBLANK(E20),NOT(ISERR(SEARCH("[(M)]+",E20,1))),NOT(ISERR(SEARCH("[M+H]+",E20,1))),NOT(ISERR(SEARCH("[M-H]-",E20,1)))),0,1)</f>
        <v>1</v>
      </c>
      <c r="H20" s="4" t="s">
        <v>90</v>
      </c>
      <c r="I20" s="4">
        <v>204.08987999999999</v>
      </c>
      <c r="J20" s="4">
        <v>3.67</v>
      </c>
      <c r="K20" s="4">
        <v>262.04446000000002</v>
      </c>
      <c r="L20" s="4">
        <v>51792</v>
      </c>
      <c r="M20" s="4">
        <f>IF(AND(ISNUMBER(J20),ISNUMBER(K20)),1,2)</f>
        <v>1</v>
      </c>
      <c r="N20" s="4" t="s">
        <v>91</v>
      </c>
      <c r="O20" s="4" t="s">
        <v>92</v>
      </c>
      <c r="P20" s="6" t="s">
        <v>93</v>
      </c>
      <c r="Q20" s="6" t="s">
        <v>94</v>
      </c>
      <c r="R20" s="6" t="s">
        <v>95</v>
      </c>
      <c r="S20" s="6" t="s">
        <v>96</v>
      </c>
      <c r="T20" s="4" t="s">
        <v>97</v>
      </c>
      <c r="U20" s="6" t="s">
        <v>98</v>
      </c>
      <c r="V20" s="7">
        <v>27897</v>
      </c>
      <c r="W20" s="6" t="s">
        <v>99</v>
      </c>
      <c r="X20" s="6" t="s">
        <v>100</v>
      </c>
      <c r="Y20" s="6" t="s">
        <v>101</v>
      </c>
      <c r="Z20" s="6" t="s">
        <v>39</v>
      </c>
      <c r="AA20" s="6" t="s">
        <v>55</v>
      </c>
      <c r="AB20" s="6" t="s">
        <v>83</v>
      </c>
      <c r="AC20" s="6" t="s">
        <v>86</v>
      </c>
      <c r="AD20" s="6" t="s">
        <v>80</v>
      </c>
      <c r="AE20" s="6" t="s">
        <v>81</v>
      </c>
      <c r="AF20" s="6" t="s">
        <v>82</v>
      </c>
      <c r="AG20" s="6" t="s">
        <v>40</v>
      </c>
      <c r="AH20" s="4" t="s">
        <v>102</v>
      </c>
      <c r="AI20" s="4" t="s">
        <v>44</v>
      </c>
      <c r="AJ20" s="4"/>
      <c r="AK20" s="8"/>
    </row>
    <row r="21" spans="1:37" s="6" customFormat="1" x14ac:dyDescent="0.25">
      <c r="A21" s="4" t="s">
        <v>121</v>
      </c>
      <c r="B21" s="4" t="s">
        <v>36</v>
      </c>
      <c r="C21" s="5" t="s">
        <v>37</v>
      </c>
      <c r="D21" s="4" t="s">
        <v>89</v>
      </c>
      <c r="E21" s="4" t="s">
        <v>50</v>
      </c>
      <c r="F21" s="4">
        <f>IF(NOT(ISERR(SEARCH("13C",E21,1))),1,0)</f>
        <v>0</v>
      </c>
      <c r="G21" s="4">
        <f>IF(OR(ISBLANK(E21),NOT(ISERR(SEARCH("[(M)]+",E21,1))),NOT(ISERR(SEARCH("[M+H]+",E21,1))),NOT(ISERR(SEARCH("[M-H]-",E21,1)))),0,1)</f>
        <v>1</v>
      </c>
      <c r="H21" s="4" t="s">
        <v>90</v>
      </c>
      <c r="I21" s="4">
        <v>204.08987999999999</v>
      </c>
      <c r="J21" s="4">
        <v>3.67</v>
      </c>
      <c r="K21" s="4">
        <v>285.08409</v>
      </c>
      <c r="L21" s="4">
        <v>1820274</v>
      </c>
      <c r="M21" s="4">
        <f>IF(AND(ISNUMBER(J21),ISNUMBER(K21)),1,2)</f>
        <v>1</v>
      </c>
      <c r="N21" s="4" t="s">
        <v>91</v>
      </c>
      <c r="O21" s="4" t="s">
        <v>92</v>
      </c>
      <c r="P21" s="6" t="s">
        <v>93</v>
      </c>
      <c r="Q21" s="6" t="s">
        <v>94</v>
      </c>
      <c r="R21" s="6" t="s">
        <v>95</v>
      </c>
      <c r="S21" s="6" t="s">
        <v>96</v>
      </c>
      <c r="T21" s="4" t="s">
        <v>97</v>
      </c>
      <c r="U21" s="6" t="s">
        <v>98</v>
      </c>
      <c r="V21" s="7">
        <v>27897</v>
      </c>
      <c r="W21" s="6" t="s">
        <v>99</v>
      </c>
      <c r="X21" s="6" t="s">
        <v>100</v>
      </c>
      <c r="Y21" s="6" t="s">
        <v>101</v>
      </c>
      <c r="Z21" s="6" t="s">
        <v>39</v>
      </c>
      <c r="AA21" s="6" t="s">
        <v>55</v>
      </c>
      <c r="AB21" s="6" t="s">
        <v>83</v>
      </c>
      <c r="AC21" s="6" t="s">
        <v>86</v>
      </c>
      <c r="AD21" s="6" t="s">
        <v>80</v>
      </c>
      <c r="AE21" s="6" t="s">
        <v>81</v>
      </c>
      <c r="AF21" s="6" t="s">
        <v>82</v>
      </c>
      <c r="AG21" s="6" t="s">
        <v>40</v>
      </c>
      <c r="AH21" s="4" t="s">
        <v>102</v>
      </c>
      <c r="AI21" s="4" t="s">
        <v>44</v>
      </c>
      <c r="AJ21" s="4"/>
      <c r="AK21" s="8"/>
    </row>
    <row r="22" spans="1:37" s="6" customFormat="1" x14ac:dyDescent="0.25">
      <c r="A22" s="4" t="s">
        <v>122</v>
      </c>
      <c r="B22" s="4" t="s">
        <v>36</v>
      </c>
      <c r="C22" s="5" t="s">
        <v>37</v>
      </c>
      <c r="D22" s="4" t="s">
        <v>89</v>
      </c>
      <c r="E22" s="4" t="s">
        <v>71</v>
      </c>
      <c r="F22" s="4">
        <f>IF(NOT(ISERR(SEARCH("13C",E22,1))),1,0)</f>
        <v>1</v>
      </c>
      <c r="G22" s="4">
        <f>IF(OR(ISBLANK(E22),NOT(ISERR(SEARCH("[(M)]+",E22,1))),NOT(ISERR(SEARCH("[M+H]+",E22,1))),NOT(ISERR(SEARCH("[M-H]-",E22,1)))),0,1)</f>
        <v>1</v>
      </c>
      <c r="H22" s="4" t="s">
        <v>90</v>
      </c>
      <c r="I22" s="4">
        <v>204.08987999999999</v>
      </c>
      <c r="J22" s="4">
        <v>3.67</v>
      </c>
      <c r="K22" s="4">
        <v>286.08780000000002</v>
      </c>
      <c r="L22" s="4">
        <v>271664</v>
      </c>
      <c r="M22" s="4">
        <f>IF(AND(ISNUMBER(J22),ISNUMBER(K22)),1,2)</f>
        <v>1</v>
      </c>
      <c r="N22" s="4" t="s">
        <v>91</v>
      </c>
      <c r="O22" s="4" t="s">
        <v>92</v>
      </c>
      <c r="P22" s="6" t="s">
        <v>93</v>
      </c>
      <c r="Q22" s="6" t="s">
        <v>94</v>
      </c>
      <c r="R22" s="6" t="s">
        <v>95</v>
      </c>
      <c r="S22" s="6" t="s">
        <v>96</v>
      </c>
      <c r="T22" s="4" t="s">
        <v>97</v>
      </c>
      <c r="U22" s="6" t="s">
        <v>98</v>
      </c>
      <c r="V22" s="7">
        <v>27897</v>
      </c>
      <c r="W22" s="6" t="s">
        <v>99</v>
      </c>
      <c r="X22" s="6" t="s">
        <v>100</v>
      </c>
      <c r="Y22" s="6" t="s">
        <v>101</v>
      </c>
      <c r="Z22" s="6" t="s">
        <v>39</v>
      </c>
      <c r="AA22" s="6" t="s">
        <v>55</v>
      </c>
      <c r="AB22" s="6" t="s">
        <v>83</v>
      </c>
      <c r="AC22" s="6" t="s">
        <v>86</v>
      </c>
      <c r="AD22" s="6" t="s">
        <v>80</v>
      </c>
      <c r="AE22" s="6" t="s">
        <v>81</v>
      </c>
      <c r="AF22" s="6" t="s">
        <v>82</v>
      </c>
      <c r="AG22" s="6" t="s">
        <v>40</v>
      </c>
      <c r="AH22" s="4" t="s">
        <v>102</v>
      </c>
      <c r="AI22" s="4" t="s">
        <v>44</v>
      </c>
      <c r="AJ22" s="4"/>
      <c r="AK22" s="8"/>
    </row>
    <row r="23" spans="1:37" s="6" customFormat="1" x14ac:dyDescent="0.25">
      <c r="A23" s="4" t="s">
        <v>123</v>
      </c>
      <c r="B23" s="4" t="s">
        <v>36</v>
      </c>
      <c r="C23" s="5" t="s">
        <v>41</v>
      </c>
      <c r="D23" s="4" t="s">
        <v>89</v>
      </c>
      <c r="E23" s="4" t="s">
        <v>76</v>
      </c>
      <c r="F23" s="4">
        <f>IF(NOT(ISERR(SEARCH("13C",E23,1))),1,0)</f>
        <v>0</v>
      </c>
      <c r="G23" s="4">
        <f>IF(OR(ISBLANK(E23),NOT(ISERR(SEARCH("[(M)]+",E23,1))),NOT(ISERR(SEARCH("[M+H]+",E23,1))),NOT(ISERR(SEARCH("[M-H]-",E23,1)))),0,1)</f>
        <v>1</v>
      </c>
      <c r="H23" s="4" t="s">
        <v>90</v>
      </c>
      <c r="I23" s="4">
        <v>204.08987999999999</v>
      </c>
      <c r="J23" s="4">
        <v>3.67</v>
      </c>
      <c r="K23" s="4">
        <v>159.09205</v>
      </c>
      <c r="L23" s="4">
        <v>5038344</v>
      </c>
      <c r="M23" s="4">
        <f>IF(AND(ISNUMBER(J23),ISNUMBER(K23)),1,2)</f>
        <v>1</v>
      </c>
      <c r="N23" s="4" t="s">
        <v>91</v>
      </c>
      <c r="O23" s="4" t="s">
        <v>92</v>
      </c>
      <c r="P23" s="6" t="s">
        <v>93</v>
      </c>
      <c r="Q23" s="6" t="s">
        <v>94</v>
      </c>
      <c r="R23" s="6" t="s">
        <v>95</v>
      </c>
      <c r="S23" s="6" t="s">
        <v>96</v>
      </c>
      <c r="T23" s="4" t="s">
        <v>97</v>
      </c>
      <c r="U23" s="6" t="s">
        <v>98</v>
      </c>
      <c r="V23" s="7">
        <v>27897</v>
      </c>
      <c r="W23" s="6" t="s">
        <v>99</v>
      </c>
      <c r="X23" s="6" t="s">
        <v>100</v>
      </c>
      <c r="Y23" s="6" t="s">
        <v>101</v>
      </c>
      <c r="Z23" s="6" t="s">
        <v>39</v>
      </c>
      <c r="AA23" s="6" t="s">
        <v>55</v>
      </c>
      <c r="AB23" s="6" t="s">
        <v>83</v>
      </c>
      <c r="AC23" s="6" t="s">
        <v>86</v>
      </c>
      <c r="AD23" s="6" t="s">
        <v>80</v>
      </c>
      <c r="AE23" s="6" t="s">
        <v>81</v>
      </c>
      <c r="AF23" s="6" t="s">
        <v>82</v>
      </c>
      <c r="AG23" s="6" t="s">
        <v>40</v>
      </c>
      <c r="AH23" s="4" t="s">
        <v>102</v>
      </c>
      <c r="AI23" s="4" t="s">
        <v>44</v>
      </c>
      <c r="AJ23" s="4"/>
      <c r="AK23" s="8"/>
    </row>
    <row r="24" spans="1:37" s="6" customFormat="1" x14ac:dyDescent="0.25">
      <c r="A24" s="4" t="s">
        <v>124</v>
      </c>
      <c r="B24" s="4" t="s">
        <v>36</v>
      </c>
      <c r="C24" s="5" t="s">
        <v>41</v>
      </c>
      <c r="D24" s="4" t="s">
        <v>89</v>
      </c>
      <c r="E24" s="4" t="s">
        <v>72</v>
      </c>
      <c r="F24" s="4">
        <f>IF(NOT(ISERR(SEARCH("13C",E24,1))),1,0)</f>
        <v>0</v>
      </c>
      <c r="G24" s="4">
        <f>IF(OR(ISBLANK(E24),NOT(ISERR(SEARCH("[(M)]+",E24,1))),NOT(ISERR(SEARCH("[M+H]+",E24,1))),NOT(ISERR(SEARCH("[M-H]-",E24,1)))),0,1)</f>
        <v>1</v>
      </c>
      <c r="H24" s="4" t="s">
        <v>90</v>
      </c>
      <c r="I24" s="4">
        <v>204.08987999999999</v>
      </c>
      <c r="J24" s="4">
        <v>3.67</v>
      </c>
      <c r="K24" s="4">
        <v>188.07157000000001</v>
      </c>
      <c r="L24" s="4">
        <v>127551288</v>
      </c>
      <c r="M24" s="4">
        <f>IF(AND(ISNUMBER(J24),ISNUMBER(K24)),1,2)</f>
        <v>1</v>
      </c>
      <c r="N24" s="4" t="s">
        <v>91</v>
      </c>
      <c r="O24" s="4" t="s">
        <v>92</v>
      </c>
      <c r="P24" s="6" t="s">
        <v>93</v>
      </c>
      <c r="Q24" s="6" t="s">
        <v>94</v>
      </c>
      <c r="R24" s="6" t="s">
        <v>95</v>
      </c>
      <c r="S24" s="6" t="s">
        <v>96</v>
      </c>
      <c r="T24" s="4" t="s">
        <v>97</v>
      </c>
      <c r="U24" s="6" t="s">
        <v>98</v>
      </c>
      <c r="V24" s="7">
        <v>27897</v>
      </c>
      <c r="W24" s="6" t="s">
        <v>99</v>
      </c>
      <c r="X24" s="6" t="s">
        <v>100</v>
      </c>
      <c r="Y24" s="6" t="s">
        <v>101</v>
      </c>
      <c r="Z24" s="6" t="s">
        <v>39</v>
      </c>
      <c r="AA24" s="6" t="s">
        <v>55</v>
      </c>
      <c r="AB24" s="6" t="s">
        <v>83</v>
      </c>
      <c r="AC24" s="6" t="s">
        <v>86</v>
      </c>
      <c r="AD24" s="6" t="s">
        <v>80</v>
      </c>
      <c r="AE24" s="6" t="s">
        <v>81</v>
      </c>
      <c r="AF24" s="6" t="s">
        <v>82</v>
      </c>
      <c r="AG24" s="6" t="s">
        <v>40</v>
      </c>
      <c r="AH24" s="4" t="s">
        <v>102</v>
      </c>
      <c r="AI24" s="4" t="s">
        <v>44</v>
      </c>
      <c r="AJ24" s="4"/>
      <c r="AK24" s="8"/>
    </row>
    <row r="25" spans="1:37" s="6" customFormat="1" x14ac:dyDescent="0.25">
      <c r="A25" s="4" t="s">
        <v>125</v>
      </c>
      <c r="B25" s="4" t="s">
        <v>36</v>
      </c>
      <c r="C25" s="5" t="s">
        <v>41</v>
      </c>
      <c r="D25" s="4" t="s">
        <v>89</v>
      </c>
      <c r="E25" s="4" t="s">
        <v>73</v>
      </c>
      <c r="F25" s="4">
        <f>IF(NOT(ISERR(SEARCH("13C",E25,1))),1,0)</f>
        <v>1</v>
      </c>
      <c r="G25" s="4">
        <f>IF(OR(ISBLANK(E25),NOT(ISERR(SEARCH("[(M)]+",E25,1))),NOT(ISERR(SEARCH("[M+H]+",E25,1))),NOT(ISERR(SEARCH("[M-H]-",E25,1)))),0,1)</f>
        <v>1</v>
      </c>
      <c r="H25" s="4" t="s">
        <v>90</v>
      </c>
      <c r="I25" s="4">
        <v>204.08987999999999</v>
      </c>
      <c r="J25" s="4">
        <v>3.67</v>
      </c>
      <c r="K25" s="4">
        <v>189.07454000000001</v>
      </c>
      <c r="L25" s="4">
        <v>19774466</v>
      </c>
      <c r="M25" s="4">
        <f>IF(AND(ISNUMBER(J25),ISNUMBER(K25)),1,2)</f>
        <v>1</v>
      </c>
      <c r="N25" s="4" t="s">
        <v>91</v>
      </c>
      <c r="O25" s="4" t="s">
        <v>92</v>
      </c>
      <c r="P25" s="6" t="s">
        <v>93</v>
      </c>
      <c r="Q25" s="6" t="s">
        <v>94</v>
      </c>
      <c r="R25" s="6" t="s">
        <v>95</v>
      </c>
      <c r="S25" s="6" t="s">
        <v>96</v>
      </c>
      <c r="T25" s="4" t="s">
        <v>97</v>
      </c>
      <c r="U25" s="6" t="s">
        <v>98</v>
      </c>
      <c r="V25" s="7">
        <v>27897</v>
      </c>
      <c r="W25" s="6" t="s">
        <v>99</v>
      </c>
      <c r="X25" s="6" t="s">
        <v>100</v>
      </c>
      <c r="Y25" s="6" t="s">
        <v>101</v>
      </c>
      <c r="Z25" s="6" t="s">
        <v>39</v>
      </c>
      <c r="AA25" s="6" t="s">
        <v>55</v>
      </c>
      <c r="AB25" s="6" t="s">
        <v>83</v>
      </c>
      <c r="AC25" s="6" t="s">
        <v>86</v>
      </c>
      <c r="AD25" s="6" t="s">
        <v>80</v>
      </c>
      <c r="AE25" s="6" t="s">
        <v>81</v>
      </c>
      <c r="AF25" s="6" t="s">
        <v>82</v>
      </c>
      <c r="AG25" s="6" t="s">
        <v>40</v>
      </c>
      <c r="AH25" s="4" t="s">
        <v>102</v>
      </c>
      <c r="AI25" s="4" t="s">
        <v>44</v>
      </c>
      <c r="AJ25" s="4"/>
      <c r="AK25" s="8"/>
    </row>
    <row r="26" spans="1:37" s="6" customFormat="1" x14ac:dyDescent="0.25">
      <c r="A26" s="4" t="s">
        <v>126</v>
      </c>
      <c r="B26" s="4" t="s">
        <v>36</v>
      </c>
      <c r="C26" s="5" t="s">
        <v>41</v>
      </c>
      <c r="D26" s="4" t="s">
        <v>89</v>
      </c>
      <c r="E26" s="4" t="s">
        <v>74</v>
      </c>
      <c r="F26" s="4">
        <f>IF(NOT(ISERR(SEARCH("13C",E26,1))),1,0)</f>
        <v>1</v>
      </c>
      <c r="G26" s="4">
        <f>IF(OR(ISBLANK(E26),NOT(ISERR(SEARCH("[(M)]+",E26,1))),NOT(ISERR(SEARCH("[M+H]+",E26,1))),NOT(ISERR(SEARCH("[M-H]-",E26,1)))),0,1)</f>
        <v>1</v>
      </c>
      <c r="H26" s="4" t="s">
        <v>90</v>
      </c>
      <c r="I26" s="4">
        <v>204.08987999999999</v>
      </c>
      <c r="J26" s="4">
        <v>3.67</v>
      </c>
      <c r="K26" s="4">
        <v>190.0763</v>
      </c>
      <c r="L26" s="4">
        <v>1617055</v>
      </c>
      <c r="M26" s="4">
        <f>IF(AND(ISNUMBER(J26),ISNUMBER(K26)),1,2)</f>
        <v>1</v>
      </c>
      <c r="N26" s="4" t="s">
        <v>91</v>
      </c>
      <c r="O26" s="4" t="s">
        <v>92</v>
      </c>
      <c r="P26" s="6" t="s">
        <v>93</v>
      </c>
      <c r="Q26" s="6" t="s">
        <v>94</v>
      </c>
      <c r="R26" s="6" t="s">
        <v>95</v>
      </c>
      <c r="S26" s="6" t="s">
        <v>96</v>
      </c>
      <c r="T26" s="4" t="s">
        <v>97</v>
      </c>
      <c r="U26" s="6" t="s">
        <v>98</v>
      </c>
      <c r="V26" s="7">
        <v>27897</v>
      </c>
      <c r="W26" s="6" t="s">
        <v>99</v>
      </c>
      <c r="X26" s="6" t="s">
        <v>100</v>
      </c>
      <c r="Y26" s="6" t="s">
        <v>101</v>
      </c>
      <c r="Z26" s="6" t="s">
        <v>39</v>
      </c>
      <c r="AA26" s="6" t="s">
        <v>55</v>
      </c>
      <c r="AB26" s="6" t="s">
        <v>83</v>
      </c>
      <c r="AC26" s="6" t="s">
        <v>86</v>
      </c>
      <c r="AD26" s="6" t="s">
        <v>80</v>
      </c>
      <c r="AE26" s="6" t="s">
        <v>81</v>
      </c>
      <c r="AF26" s="6" t="s">
        <v>82</v>
      </c>
      <c r="AG26" s="6" t="s">
        <v>40</v>
      </c>
      <c r="AH26" s="4" t="s">
        <v>102</v>
      </c>
      <c r="AI26" s="4" t="s">
        <v>44</v>
      </c>
      <c r="AJ26" s="4"/>
      <c r="AK26" s="8"/>
    </row>
    <row r="27" spans="1:37" s="6" customFormat="1" x14ac:dyDescent="0.25">
      <c r="A27" s="4" t="s">
        <v>127</v>
      </c>
      <c r="B27" s="4" t="s">
        <v>36</v>
      </c>
      <c r="C27" s="5" t="s">
        <v>41</v>
      </c>
      <c r="D27" s="4" t="s">
        <v>89</v>
      </c>
      <c r="E27" s="4" t="s">
        <v>85</v>
      </c>
      <c r="F27" s="4">
        <f>IF(NOT(ISERR(SEARCH("13C",E27,1))),1,0)</f>
        <v>1</v>
      </c>
      <c r="G27" s="4">
        <f>IF(OR(ISBLANK(E27),NOT(ISERR(SEARCH("[(M)]+",E27,1))),NOT(ISERR(SEARCH("[M+H]+",E27,1))),NOT(ISERR(SEARCH("[M-H]-",E27,1)))),0,1)</f>
        <v>1</v>
      </c>
      <c r="H27" s="4" t="s">
        <v>90</v>
      </c>
      <c r="I27" s="4">
        <v>204.08987999999999</v>
      </c>
      <c r="J27" s="4">
        <v>3.67</v>
      </c>
      <c r="K27" s="4">
        <v>191.07884999999999</v>
      </c>
      <c r="L27" s="4">
        <v>117927</v>
      </c>
      <c r="M27" s="4">
        <f>IF(AND(ISNUMBER(J27),ISNUMBER(K27)),1,2)</f>
        <v>1</v>
      </c>
      <c r="N27" s="4" t="s">
        <v>91</v>
      </c>
      <c r="O27" s="4" t="s">
        <v>92</v>
      </c>
      <c r="P27" s="6" t="s">
        <v>93</v>
      </c>
      <c r="Q27" s="6" t="s">
        <v>94</v>
      </c>
      <c r="R27" s="6" t="s">
        <v>95</v>
      </c>
      <c r="S27" s="6" t="s">
        <v>96</v>
      </c>
      <c r="T27" s="4" t="s">
        <v>97</v>
      </c>
      <c r="U27" s="6" t="s">
        <v>98</v>
      </c>
      <c r="V27" s="7">
        <v>27897</v>
      </c>
      <c r="W27" s="6" t="s">
        <v>99</v>
      </c>
      <c r="X27" s="6" t="s">
        <v>100</v>
      </c>
      <c r="Y27" s="6" t="s">
        <v>101</v>
      </c>
      <c r="Z27" s="6" t="s">
        <v>39</v>
      </c>
      <c r="AA27" s="6" t="s">
        <v>55</v>
      </c>
      <c r="AB27" s="6" t="s">
        <v>83</v>
      </c>
      <c r="AC27" s="6" t="s">
        <v>86</v>
      </c>
      <c r="AD27" s="6" t="s">
        <v>80</v>
      </c>
      <c r="AE27" s="6" t="s">
        <v>81</v>
      </c>
      <c r="AF27" s="6" t="s">
        <v>82</v>
      </c>
      <c r="AG27" s="6" t="s">
        <v>40</v>
      </c>
      <c r="AH27" s="4" t="s">
        <v>102</v>
      </c>
      <c r="AI27" s="4" t="s">
        <v>44</v>
      </c>
      <c r="AJ27" s="4"/>
      <c r="AK27" s="8"/>
    </row>
    <row r="28" spans="1:37" s="6" customFormat="1" x14ac:dyDescent="0.25">
      <c r="A28" s="4" t="s">
        <v>128</v>
      </c>
      <c r="B28" s="4" t="s">
        <v>36</v>
      </c>
      <c r="C28" s="5" t="s">
        <v>41</v>
      </c>
      <c r="D28" s="4" t="s">
        <v>89</v>
      </c>
      <c r="E28" s="4" t="s">
        <v>129</v>
      </c>
      <c r="F28" s="4">
        <f>IF(NOT(ISERR(SEARCH("13C",E28,1))),1,0)</f>
        <v>1</v>
      </c>
      <c r="G28" s="4">
        <f>IF(OR(ISBLANK(E28),NOT(ISERR(SEARCH("[(M)]+",E28,1))),NOT(ISERR(SEARCH("[M+H]+",E28,1))),NOT(ISERR(SEARCH("[M-H]-",E28,1)))),0,1)</f>
        <v>1</v>
      </c>
      <c r="H28" s="4" t="s">
        <v>90</v>
      </c>
      <c r="I28" s="4">
        <v>204.08987999999999</v>
      </c>
      <c r="J28" s="4">
        <v>3.67</v>
      </c>
      <c r="K28" s="4">
        <v>192.07415</v>
      </c>
      <c r="L28" s="4">
        <v>21641</v>
      </c>
      <c r="M28" s="4">
        <f>IF(AND(ISNUMBER(J28),ISNUMBER(K28)),1,2)</f>
        <v>1</v>
      </c>
      <c r="N28" s="4" t="s">
        <v>91</v>
      </c>
      <c r="O28" s="4" t="s">
        <v>92</v>
      </c>
      <c r="P28" s="6" t="s">
        <v>93</v>
      </c>
      <c r="Q28" s="6" t="s">
        <v>94</v>
      </c>
      <c r="R28" s="6" t="s">
        <v>95</v>
      </c>
      <c r="S28" s="6" t="s">
        <v>96</v>
      </c>
      <c r="T28" s="4" t="s">
        <v>97</v>
      </c>
      <c r="U28" s="6" t="s">
        <v>98</v>
      </c>
      <c r="V28" s="7">
        <v>27897</v>
      </c>
      <c r="W28" s="6" t="s">
        <v>99</v>
      </c>
      <c r="X28" s="6" t="s">
        <v>100</v>
      </c>
      <c r="Y28" s="6" t="s">
        <v>101</v>
      </c>
      <c r="Z28" s="6" t="s">
        <v>39</v>
      </c>
      <c r="AA28" s="6" t="s">
        <v>55</v>
      </c>
      <c r="AB28" s="6" t="s">
        <v>83</v>
      </c>
      <c r="AC28" s="6" t="s">
        <v>86</v>
      </c>
      <c r="AD28" s="6" t="s">
        <v>80</v>
      </c>
      <c r="AE28" s="6" t="s">
        <v>81</v>
      </c>
      <c r="AF28" s="6" t="s">
        <v>82</v>
      </c>
      <c r="AG28" s="6" t="s">
        <v>40</v>
      </c>
      <c r="AH28" s="4" t="s">
        <v>102</v>
      </c>
      <c r="AI28" s="4" t="s">
        <v>44</v>
      </c>
      <c r="AJ28" s="4"/>
      <c r="AK28" s="8"/>
    </row>
    <row r="29" spans="1:37" s="6" customFormat="1" x14ac:dyDescent="0.25">
      <c r="A29" s="4" t="s">
        <v>130</v>
      </c>
      <c r="B29" s="4" t="s">
        <v>36</v>
      </c>
      <c r="C29" s="5" t="s">
        <v>41</v>
      </c>
      <c r="D29" s="4" t="s">
        <v>89</v>
      </c>
      <c r="E29" s="4" t="s">
        <v>42</v>
      </c>
      <c r="F29" s="4">
        <f>IF(NOT(ISERR(SEARCH("13C",E29,1))),1,0)</f>
        <v>0</v>
      </c>
      <c r="G29" s="4">
        <f>IF(OR(ISBLANK(E29),NOT(ISERR(SEARCH("[(M)]+",E29,1))),NOT(ISERR(SEARCH("[M+H]+",E29,1))),NOT(ISERR(SEARCH("[M-H]-",E29,1)))),0,1)</f>
        <v>0</v>
      </c>
      <c r="H29" s="4" t="s">
        <v>90</v>
      </c>
      <c r="I29" s="4">
        <v>204.08987999999999</v>
      </c>
      <c r="J29" s="4">
        <v>3.67</v>
      </c>
      <c r="K29" s="4">
        <v>205.0975</v>
      </c>
      <c r="L29" s="4">
        <v>7940041</v>
      </c>
      <c r="M29" s="4">
        <f>IF(AND(ISNUMBER(J29),ISNUMBER(K29)),1,2)</f>
        <v>1</v>
      </c>
      <c r="N29" s="4" t="s">
        <v>91</v>
      </c>
      <c r="O29" s="4" t="s">
        <v>92</v>
      </c>
      <c r="P29" s="6" t="s">
        <v>93</v>
      </c>
      <c r="Q29" s="6" t="s">
        <v>94</v>
      </c>
      <c r="R29" s="6" t="s">
        <v>95</v>
      </c>
      <c r="S29" s="6" t="s">
        <v>96</v>
      </c>
      <c r="T29" s="4" t="s">
        <v>97</v>
      </c>
      <c r="U29" s="6" t="s">
        <v>98</v>
      </c>
      <c r="V29" s="7">
        <v>27897</v>
      </c>
      <c r="W29" s="6" t="s">
        <v>99</v>
      </c>
      <c r="X29" s="6" t="s">
        <v>100</v>
      </c>
      <c r="Y29" s="6" t="s">
        <v>101</v>
      </c>
      <c r="Z29" s="6" t="s">
        <v>39</v>
      </c>
      <c r="AA29" s="6" t="s">
        <v>55</v>
      </c>
      <c r="AB29" s="6" t="s">
        <v>83</v>
      </c>
      <c r="AC29" s="6" t="s">
        <v>86</v>
      </c>
      <c r="AD29" s="6" t="s">
        <v>80</v>
      </c>
      <c r="AE29" s="6" t="s">
        <v>81</v>
      </c>
      <c r="AF29" s="6" t="s">
        <v>82</v>
      </c>
      <c r="AG29" s="6" t="s">
        <v>40</v>
      </c>
      <c r="AH29" s="4" t="s">
        <v>102</v>
      </c>
      <c r="AI29" s="4" t="s">
        <v>44</v>
      </c>
      <c r="AJ29" s="4"/>
      <c r="AK29" s="8"/>
    </row>
    <row r="30" spans="1:37" s="6" customFormat="1" x14ac:dyDescent="0.25">
      <c r="A30" s="4" t="s">
        <v>131</v>
      </c>
      <c r="B30" s="4" t="s">
        <v>36</v>
      </c>
      <c r="C30" s="5" t="s">
        <v>41</v>
      </c>
      <c r="D30" s="4" t="s">
        <v>89</v>
      </c>
      <c r="E30" s="4" t="s">
        <v>52</v>
      </c>
      <c r="F30" s="4">
        <f>IF(NOT(ISERR(SEARCH("13C",E30,1))),1,0)</f>
        <v>1</v>
      </c>
      <c r="G30" s="4">
        <f>IF(OR(ISBLANK(E30),NOT(ISERR(SEARCH("[(M)]+",E30,1))),NOT(ISERR(SEARCH("[M+H]+",E30,1))),NOT(ISERR(SEARCH("[M-H]-",E30,1)))),0,1)</f>
        <v>0</v>
      </c>
      <c r="H30" s="4" t="s">
        <v>90</v>
      </c>
      <c r="I30" s="4">
        <v>204.08987999999999</v>
      </c>
      <c r="J30" s="4">
        <v>3.67</v>
      </c>
      <c r="K30" s="4">
        <v>206.10051999999999</v>
      </c>
      <c r="L30" s="4">
        <v>834292</v>
      </c>
      <c r="M30" s="4">
        <f>IF(AND(ISNUMBER(J30),ISNUMBER(K30)),1,2)</f>
        <v>1</v>
      </c>
      <c r="N30" s="4" t="s">
        <v>91</v>
      </c>
      <c r="O30" s="4" t="s">
        <v>92</v>
      </c>
      <c r="P30" s="6" t="s">
        <v>93</v>
      </c>
      <c r="Q30" s="6" t="s">
        <v>94</v>
      </c>
      <c r="R30" s="6" t="s">
        <v>95</v>
      </c>
      <c r="S30" s="6" t="s">
        <v>96</v>
      </c>
      <c r="T30" s="4" t="s">
        <v>97</v>
      </c>
      <c r="U30" s="6" t="s">
        <v>98</v>
      </c>
      <c r="V30" s="7">
        <v>27897</v>
      </c>
      <c r="W30" s="6" t="s">
        <v>99</v>
      </c>
      <c r="X30" s="6" t="s">
        <v>100</v>
      </c>
      <c r="Y30" s="6" t="s">
        <v>101</v>
      </c>
      <c r="Z30" s="6" t="s">
        <v>39</v>
      </c>
      <c r="AA30" s="6" t="s">
        <v>55</v>
      </c>
      <c r="AB30" s="6" t="s">
        <v>83</v>
      </c>
      <c r="AC30" s="6" t="s">
        <v>86</v>
      </c>
      <c r="AD30" s="6" t="s">
        <v>80</v>
      </c>
      <c r="AE30" s="6" t="s">
        <v>81</v>
      </c>
      <c r="AF30" s="6" t="s">
        <v>82</v>
      </c>
      <c r="AG30" s="6" t="s">
        <v>40</v>
      </c>
      <c r="AH30" s="4" t="s">
        <v>102</v>
      </c>
      <c r="AI30" s="4" t="s">
        <v>44</v>
      </c>
      <c r="AJ30" s="4"/>
      <c r="AK30" s="8"/>
    </row>
    <row r="31" spans="1:37" s="6" customFormat="1" x14ac:dyDescent="0.25">
      <c r="A31" s="4" t="s">
        <v>132</v>
      </c>
      <c r="B31" s="4" t="s">
        <v>36</v>
      </c>
      <c r="C31" s="5" t="s">
        <v>41</v>
      </c>
      <c r="D31" s="4" t="s">
        <v>89</v>
      </c>
      <c r="E31" s="4" t="s">
        <v>56</v>
      </c>
      <c r="F31" s="4">
        <f>IF(NOT(ISERR(SEARCH("13C",E31,1))),1,0)</f>
        <v>1</v>
      </c>
      <c r="G31" s="4">
        <f>IF(OR(ISBLANK(E31),NOT(ISERR(SEARCH("[(M)]+",E31,1))),NOT(ISERR(SEARCH("[M+H]+",E31,1))),NOT(ISERR(SEARCH("[M-H]-",E31,1)))),0,1)</f>
        <v>0</v>
      </c>
      <c r="H31" s="4" t="s">
        <v>90</v>
      </c>
      <c r="I31" s="4">
        <v>204.08987999999999</v>
      </c>
      <c r="J31" s="4">
        <v>3.67</v>
      </c>
      <c r="K31" s="4">
        <v>207.10208</v>
      </c>
      <c r="L31" s="4">
        <v>86880</v>
      </c>
      <c r="M31" s="4">
        <f>IF(AND(ISNUMBER(J31),ISNUMBER(K31)),1,2)</f>
        <v>1</v>
      </c>
      <c r="N31" s="4" t="s">
        <v>91</v>
      </c>
      <c r="O31" s="4" t="s">
        <v>92</v>
      </c>
      <c r="P31" s="6" t="s">
        <v>93</v>
      </c>
      <c r="Q31" s="6" t="s">
        <v>94</v>
      </c>
      <c r="R31" s="6" t="s">
        <v>95</v>
      </c>
      <c r="S31" s="6" t="s">
        <v>96</v>
      </c>
      <c r="T31" s="4" t="s">
        <v>97</v>
      </c>
      <c r="U31" s="6" t="s">
        <v>98</v>
      </c>
      <c r="V31" s="7">
        <v>27897</v>
      </c>
      <c r="W31" s="6" t="s">
        <v>99</v>
      </c>
      <c r="X31" s="6" t="s">
        <v>100</v>
      </c>
      <c r="Y31" s="6" t="s">
        <v>101</v>
      </c>
      <c r="Z31" s="6" t="s">
        <v>39</v>
      </c>
      <c r="AA31" s="6" t="s">
        <v>55</v>
      </c>
      <c r="AB31" s="6" t="s">
        <v>83</v>
      </c>
      <c r="AC31" s="6" t="s">
        <v>86</v>
      </c>
      <c r="AD31" s="6" t="s">
        <v>80</v>
      </c>
      <c r="AE31" s="6" t="s">
        <v>81</v>
      </c>
      <c r="AF31" s="6" t="s">
        <v>82</v>
      </c>
      <c r="AG31" s="6" t="s">
        <v>40</v>
      </c>
      <c r="AH31" s="4" t="s">
        <v>102</v>
      </c>
      <c r="AI31" s="4" t="s">
        <v>44</v>
      </c>
      <c r="AJ31" s="4"/>
      <c r="AK31" s="8"/>
    </row>
    <row r="32" spans="1:37" s="6" customFormat="1" x14ac:dyDescent="0.25">
      <c r="A32" s="4" t="s">
        <v>133</v>
      </c>
      <c r="B32" s="4" t="s">
        <v>36</v>
      </c>
      <c r="C32" s="5" t="s">
        <v>41</v>
      </c>
      <c r="D32" s="4" t="s">
        <v>89</v>
      </c>
      <c r="E32" s="4" t="s">
        <v>53</v>
      </c>
      <c r="F32" s="4">
        <f>IF(NOT(ISERR(SEARCH("13C",E32,1))),1,0)</f>
        <v>0</v>
      </c>
      <c r="G32" s="4">
        <f>IF(OR(ISBLANK(E32),NOT(ISERR(SEARCH("[(M)]+",E32,1))),NOT(ISERR(SEARCH("[M+H]+",E32,1))),NOT(ISERR(SEARCH("[M-H]-",E32,1)))),0,1)</f>
        <v>1</v>
      </c>
      <c r="H32" s="4" t="s">
        <v>90</v>
      </c>
      <c r="I32" s="4">
        <v>204.08987999999999</v>
      </c>
      <c r="J32" s="4">
        <v>3.67</v>
      </c>
      <c r="K32" s="4">
        <v>227.07942</v>
      </c>
      <c r="L32" s="4">
        <v>2862600</v>
      </c>
      <c r="M32" s="4">
        <f>IF(AND(ISNUMBER(J32),ISNUMBER(K32)),1,2)</f>
        <v>1</v>
      </c>
      <c r="N32" s="4" t="s">
        <v>91</v>
      </c>
      <c r="O32" s="4" t="s">
        <v>92</v>
      </c>
      <c r="P32" s="6" t="s">
        <v>93</v>
      </c>
      <c r="Q32" s="6" t="s">
        <v>94</v>
      </c>
      <c r="R32" s="6" t="s">
        <v>95</v>
      </c>
      <c r="S32" s="6" t="s">
        <v>96</v>
      </c>
      <c r="T32" s="4" t="s">
        <v>97</v>
      </c>
      <c r="U32" s="6" t="s">
        <v>98</v>
      </c>
      <c r="V32" s="7">
        <v>27897</v>
      </c>
      <c r="W32" s="6" t="s">
        <v>99</v>
      </c>
      <c r="X32" s="6" t="s">
        <v>100</v>
      </c>
      <c r="Y32" s="6" t="s">
        <v>101</v>
      </c>
      <c r="Z32" s="6" t="s">
        <v>39</v>
      </c>
      <c r="AA32" s="6" t="s">
        <v>55</v>
      </c>
      <c r="AB32" s="6" t="s">
        <v>83</v>
      </c>
      <c r="AC32" s="6" t="s">
        <v>86</v>
      </c>
      <c r="AD32" s="6" t="s">
        <v>80</v>
      </c>
      <c r="AE32" s="6" t="s">
        <v>81</v>
      </c>
      <c r="AF32" s="6" t="s">
        <v>82</v>
      </c>
      <c r="AG32" s="6" t="s">
        <v>40</v>
      </c>
      <c r="AH32" s="4" t="s">
        <v>102</v>
      </c>
      <c r="AI32" s="4" t="s">
        <v>44</v>
      </c>
      <c r="AJ32" s="4"/>
      <c r="AK32" s="8"/>
    </row>
    <row r="33" spans="1:37" s="6" customFormat="1" x14ac:dyDescent="0.25">
      <c r="A33" s="4" t="s">
        <v>134</v>
      </c>
      <c r="B33" s="4" t="s">
        <v>36</v>
      </c>
      <c r="C33" s="5" t="s">
        <v>41</v>
      </c>
      <c r="D33" s="4" t="s">
        <v>89</v>
      </c>
      <c r="E33" s="4" t="s">
        <v>54</v>
      </c>
      <c r="F33" s="4">
        <f>IF(NOT(ISERR(SEARCH("13C",E33,1))),1,0)</f>
        <v>1</v>
      </c>
      <c r="G33" s="4">
        <f>IF(OR(ISBLANK(E33),NOT(ISERR(SEARCH("[(M)]+",E33,1))),NOT(ISERR(SEARCH("[M+H]+",E33,1))),NOT(ISERR(SEARCH("[M-H]-",E33,1)))),0,1)</f>
        <v>1</v>
      </c>
      <c r="H33" s="4" t="s">
        <v>90</v>
      </c>
      <c r="I33" s="4">
        <v>204.08987999999999</v>
      </c>
      <c r="J33" s="4">
        <v>3.67</v>
      </c>
      <c r="K33" s="4">
        <v>228.08253999999999</v>
      </c>
      <c r="L33" s="4">
        <v>302214</v>
      </c>
      <c r="M33" s="4">
        <f>IF(AND(ISNUMBER(J33),ISNUMBER(K33)),1,2)</f>
        <v>1</v>
      </c>
      <c r="N33" s="4" t="s">
        <v>91</v>
      </c>
      <c r="O33" s="4" t="s">
        <v>92</v>
      </c>
      <c r="P33" s="6" t="s">
        <v>93</v>
      </c>
      <c r="Q33" s="6" t="s">
        <v>94</v>
      </c>
      <c r="R33" s="6" t="s">
        <v>95</v>
      </c>
      <c r="S33" s="6" t="s">
        <v>96</v>
      </c>
      <c r="T33" s="4" t="s">
        <v>97</v>
      </c>
      <c r="U33" s="6" t="s">
        <v>98</v>
      </c>
      <c r="V33" s="7">
        <v>27897</v>
      </c>
      <c r="W33" s="6" t="s">
        <v>99</v>
      </c>
      <c r="X33" s="6" t="s">
        <v>100</v>
      </c>
      <c r="Y33" s="6" t="s">
        <v>101</v>
      </c>
      <c r="Z33" s="6" t="s">
        <v>39</v>
      </c>
      <c r="AA33" s="6" t="s">
        <v>55</v>
      </c>
      <c r="AB33" s="6" t="s">
        <v>83</v>
      </c>
      <c r="AC33" s="6" t="s">
        <v>86</v>
      </c>
      <c r="AD33" s="6" t="s">
        <v>80</v>
      </c>
      <c r="AE33" s="6" t="s">
        <v>81</v>
      </c>
      <c r="AF33" s="6" t="s">
        <v>82</v>
      </c>
      <c r="AG33" s="6" t="s">
        <v>40</v>
      </c>
      <c r="AH33" s="4" t="s">
        <v>102</v>
      </c>
      <c r="AI33" s="4" t="s">
        <v>44</v>
      </c>
      <c r="AJ33" s="4"/>
      <c r="AK33" s="8"/>
    </row>
    <row r="34" spans="1:37" s="6" customFormat="1" x14ac:dyDescent="0.25">
      <c r="A34" s="6" t="s">
        <v>135</v>
      </c>
      <c r="B34" s="6" t="s">
        <v>36</v>
      </c>
      <c r="C34" s="5" t="s">
        <v>41</v>
      </c>
      <c r="D34" s="6" t="s">
        <v>136</v>
      </c>
      <c r="E34" s="6" t="s">
        <v>76</v>
      </c>
      <c r="F34" s="6">
        <f>IF(NOT(ISERR(SEARCH("13C",E34,1))),1,0)</f>
        <v>0</v>
      </c>
      <c r="G34" s="6">
        <f>IF(OR(ISBLANK(E34),NOT(ISERR(SEARCH("[(M)]+",E34,1))),NOT(ISERR(SEARCH("[M+H]+",E34,1))),NOT(ISERR(SEARCH("[M-H]-",E34,1)))),0,1)</f>
        <v>1</v>
      </c>
      <c r="H34" s="6" t="s">
        <v>87</v>
      </c>
      <c r="I34" s="6">
        <v>165.07898</v>
      </c>
      <c r="J34" s="6">
        <v>2.58</v>
      </c>
      <c r="K34" s="9">
        <v>120.08135</v>
      </c>
      <c r="L34" s="6">
        <v>109488504</v>
      </c>
      <c r="M34" s="6">
        <f>IF(AND(ISNUMBER(J34),ISNUMBER(K34)),1,2)</f>
        <v>1</v>
      </c>
      <c r="N34" s="6" t="s">
        <v>137</v>
      </c>
      <c r="O34" s="6" t="s">
        <v>138</v>
      </c>
      <c r="P34" s="6" t="s">
        <v>139</v>
      </c>
      <c r="Q34" s="6" t="s">
        <v>140</v>
      </c>
      <c r="R34" s="6" t="s">
        <v>141</v>
      </c>
      <c r="S34" s="6" t="s">
        <v>142</v>
      </c>
      <c r="T34" s="6" t="s">
        <v>143</v>
      </c>
      <c r="U34" s="6" t="s">
        <v>144</v>
      </c>
      <c r="V34" s="10">
        <v>17295</v>
      </c>
      <c r="W34" s="6" t="s">
        <v>57</v>
      </c>
      <c r="X34" s="6" t="s">
        <v>57</v>
      </c>
      <c r="Y34" s="6" t="s">
        <v>145</v>
      </c>
      <c r="Z34" s="6" t="s">
        <v>39</v>
      </c>
      <c r="AA34" s="6" t="s">
        <v>58</v>
      </c>
      <c r="AB34" s="6" t="s">
        <v>78</v>
      </c>
      <c r="AC34" s="6" t="s">
        <v>79</v>
      </c>
      <c r="AD34" s="6" t="s">
        <v>80</v>
      </c>
      <c r="AE34" s="6" t="s">
        <v>81</v>
      </c>
      <c r="AF34" s="6" t="s">
        <v>82</v>
      </c>
      <c r="AG34" s="6" t="s">
        <v>40</v>
      </c>
      <c r="AH34" s="6" t="s">
        <v>146</v>
      </c>
      <c r="AI34" s="6" t="s">
        <v>44</v>
      </c>
      <c r="AK34" s="8"/>
    </row>
    <row r="35" spans="1:37" s="6" customFormat="1" x14ac:dyDescent="0.25">
      <c r="A35" s="6" t="s">
        <v>147</v>
      </c>
      <c r="B35" s="6" t="s">
        <v>36</v>
      </c>
      <c r="C35" s="5" t="s">
        <v>41</v>
      </c>
      <c r="D35" s="6" t="s">
        <v>136</v>
      </c>
      <c r="E35" s="6" t="s">
        <v>77</v>
      </c>
      <c r="F35" s="6">
        <f>IF(NOT(ISERR(SEARCH("13C",E35,1))),1,0)</f>
        <v>1</v>
      </c>
      <c r="G35" s="6">
        <f>IF(OR(ISBLANK(E35),NOT(ISERR(SEARCH("[(M)]+",E35,1))),NOT(ISERR(SEARCH("[M+H]+",E35,1))),NOT(ISERR(SEARCH("[M-H]-",E35,1)))),0,1)</f>
        <v>1</v>
      </c>
      <c r="H35" s="6" t="s">
        <v>87</v>
      </c>
      <c r="I35" s="6">
        <v>165.07898</v>
      </c>
      <c r="J35" s="6">
        <v>2.58</v>
      </c>
      <c r="K35" s="9">
        <v>121.08413</v>
      </c>
      <c r="L35" s="6">
        <v>9953281</v>
      </c>
      <c r="M35" s="6">
        <f>IF(AND(ISNUMBER(J35),ISNUMBER(K35)),1,2)</f>
        <v>1</v>
      </c>
      <c r="N35" s="6" t="s">
        <v>137</v>
      </c>
      <c r="O35" s="6" t="s">
        <v>138</v>
      </c>
      <c r="P35" s="6" t="s">
        <v>139</v>
      </c>
      <c r="Q35" s="6" t="s">
        <v>140</v>
      </c>
      <c r="R35" s="6" t="s">
        <v>141</v>
      </c>
      <c r="S35" s="6" t="s">
        <v>142</v>
      </c>
      <c r="T35" s="6" t="s">
        <v>143</v>
      </c>
      <c r="U35" s="6" t="s">
        <v>144</v>
      </c>
      <c r="V35" s="10">
        <v>17295</v>
      </c>
      <c r="W35" s="6" t="s">
        <v>57</v>
      </c>
      <c r="X35" s="6" t="s">
        <v>57</v>
      </c>
      <c r="Y35" s="6" t="s">
        <v>145</v>
      </c>
      <c r="Z35" s="6" t="s">
        <v>39</v>
      </c>
      <c r="AA35" s="6" t="s">
        <v>58</v>
      </c>
      <c r="AB35" s="6" t="s">
        <v>78</v>
      </c>
      <c r="AC35" s="6" t="s">
        <v>79</v>
      </c>
      <c r="AD35" s="6" t="s">
        <v>80</v>
      </c>
      <c r="AE35" s="6" t="s">
        <v>81</v>
      </c>
      <c r="AF35" s="6" t="s">
        <v>82</v>
      </c>
      <c r="AG35" s="6" t="s">
        <v>40</v>
      </c>
      <c r="AH35" s="6" t="s">
        <v>146</v>
      </c>
      <c r="AI35" s="6" t="s">
        <v>44</v>
      </c>
      <c r="AK35" s="8"/>
    </row>
    <row r="36" spans="1:37" s="6" customFormat="1" x14ac:dyDescent="0.25">
      <c r="A36" s="6" t="s">
        <v>148</v>
      </c>
      <c r="B36" s="6" t="s">
        <v>36</v>
      </c>
      <c r="C36" s="5" t="s">
        <v>41</v>
      </c>
      <c r="D36" s="6" t="s">
        <v>136</v>
      </c>
      <c r="E36" s="6" t="s">
        <v>84</v>
      </c>
      <c r="F36" s="6">
        <f>IF(NOT(ISERR(SEARCH("13C",E36,1))),1,0)</f>
        <v>1</v>
      </c>
      <c r="G36" s="6">
        <f>IF(OR(ISBLANK(E36),NOT(ISERR(SEARCH("[(M)]+",E36,1))),NOT(ISERR(SEARCH("[M+H]+",E36,1))),NOT(ISERR(SEARCH("[M-H]-",E36,1)))),0,1)</f>
        <v>1</v>
      </c>
      <c r="H36" s="6" t="s">
        <v>87</v>
      </c>
      <c r="I36" s="6">
        <v>165.07898</v>
      </c>
      <c r="J36" s="6">
        <v>2.58</v>
      </c>
      <c r="K36" s="9">
        <v>122.08772</v>
      </c>
      <c r="L36" s="6">
        <v>227127</v>
      </c>
      <c r="M36" s="6">
        <f>IF(AND(ISNUMBER(J36),ISNUMBER(K36)),1,2)</f>
        <v>1</v>
      </c>
      <c r="N36" s="6" t="s">
        <v>137</v>
      </c>
      <c r="O36" s="6" t="s">
        <v>138</v>
      </c>
      <c r="P36" s="6" t="s">
        <v>139</v>
      </c>
      <c r="Q36" s="6" t="s">
        <v>140</v>
      </c>
      <c r="R36" s="6" t="s">
        <v>141</v>
      </c>
      <c r="S36" s="6" t="s">
        <v>142</v>
      </c>
      <c r="T36" s="6" t="s">
        <v>143</v>
      </c>
      <c r="U36" s="6" t="s">
        <v>144</v>
      </c>
      <c r="V36" s="10">
        <v>17295</v>
      </c>
      <c r="W36" s="6" t="s">
        <v>57</v>
      </c>
      <c r="X36" s="6" t="s">
        <v>57</v>
      </c>
      <c r="Y36" s="6" t="s">
        <v>145</v>
      </c>
      <c r="Z36" s="6" t="s">
        <v>39</v>
      </c>
      <c r="AA36" s="6" t="s">
        <v>58</v>
      </c>
      <c r="AB36" s="6" t="s">
        <v>78</v>
      </c>
      <c r="AC36" s="6" t="s">
        <v>79</v>
      </c>
      <c r="AD36" s="6" t="s">
        <v>80</v>
      </c>
      <c r="AE36" s="6" t="s">
        <v>81</v>
      </c>
      <c r="AF36" s="6" t="s">
        <v>82</v>
      </c>
      <c r="AG36" s="6" t="s">
        <v>40</v>
      </c>
      <c r="AH36" s="6" t="s">
        <v>146</v>
      </c>
      <c r="AI36" s="6" t="s">
        <v>44</v>
      </c>
      <c r="AK36" s="8"/>
    </row>
    <row r="37" spans="1:37" s="6" customFormat="1" x14ac:dyDescent="0.25">
      <c r="A37" s="6" t="s">
        <v>149</v>
      </c>
      <c r="B37" s="6" t="s">
        <v>36</v>
      </c>
      <c r="C37" s="5" t="s">
        <v>41</v>
      </c>
      <c r="D37" s="6" t="s">
        <v>136</v>
      </c>
      <c r="E37" s="6" t="s">
        <v>51</v>
      </c>
      <c r="F37" s="6">
        <f>IF(NOT(ISERR(SEARCH("13C",E37,1))),1,0)</f>
        <v>0</v>
      </c>
      <c r="G37" s="6">
        <f>IF(OR(ISBLANK(E37),NOT(ISERR(SEARCH("[(M)]+",E37,1))),NOT(ISERR(SEARCH("[M+H]+",E37,1))),NOT(ISERR(SEARCH("[M-H]-",E37,1)))),0,1)</f>
        <v>1</v>
      </c>
      <c r="H37" s="6" t="s">
        <v>87</v>
      </c>
      <c r="I37" s="6">
        <v>165.07898</v>
      </c>
      <c r="J37" s="6">
        <v>2.58</v>
      </c>
      <c r="K37" s="9">
        <v>148.07593</v>
      </c>
      <c r="L37" s="6">
        <v>102005</v>
      </c>
      <c r="M37" s="6">
        <f>IF(AND(ISNUMBER(J37),ISNUMBER(K37)),1,2)</f>
        <v>1</v>
      </c>
      <c r="N37" s="6" t="s">
        <v>137</v>
      </c>
      <c r="O37" s="6" t="s">
        <v>138</v>
      </c>
      <c r="P37" s="6" t="s">
        <v>139</v>
      </c>
      <c r="Q37" s="6" t="s">
        <v>140</v>
      </c>
      <c r="R37" s="6" t="s">
        <v>141</v>
      </c>
      <c r="S37" s="6" t="s">
        <v>142</v>
      </c>
      <c r="T37" s="6" t="s">
        <v>143</v>
      </c>
      <c r="U37" s="6" t="s">
        <v>144</v>
      </c>
      <c r="V37" s="10">
        <v>17295</v>
      </c>
      <c r="W37" s="6" t="s">
        <v>57</v>
      </c>
      <c r="X37" s="6" t="s">
        <v>57</v>
      </c>
      <c r="Y37" s="6" t="s">
        <v>145</v>
      </c>
      <c r="Z37" s="6" t="s">
        <v>39</v>
      </c>
      <c r="AA37" s="6" t="s">
        <v>58</v>
      </c>
      <c r="AB37" s="6" t="s">
        <v>78</v>
      </c>
      <c r="AC37" s="6" t="s">
        <v>79</v>
      </c>
      <c r="AD37" s="6" t="s">
        <v>80</v>
      </c>
      <c r="AE37" s="6" t="s">
        <v>81</v>
      </c>
      <c r="AF37" s="6" t="s">
        <v>82</v>
      </c>
      <c r="AG37" s="6" t="s">
        <v>40</v>
      </c>
      <c r="AH37" s="6" t="s">
        <v>146</v>
      </c>
      <c r="AI37" s="6" t="s">
        <v>44</v>
      </c>
      <c r="AK37" s="8"/>
    </row>
    <row r="38" spans="1:37" s="6" customFormat="1" x14ac:dyDescent="0.25">
      <c r="A38" s="6" t="s">
        <v>150</v>
      </c>
      <c r="B38" s="6" t="s">
        <v>36</v>
      </c>
      <c r="C38" s="5" t="s">
        <v>41</v>
      </c>
      <c r="D38" s="6" t="s">
        <v>136</v>
      </c>
      <c r="E38" s="6" t="s">
        <v>72</v>
      </c>
      <c r="F38" s="6">
        <f>IF(NOT(ISERR(SEARCH("13C",E38,1))),1,0)</f>
        <v>0</v>
      </c>
      <c r="G38" s="6">
        <f>IF(OR(ISBLANK(E38),NOT(ISERR(SEARCH("[(M)]+",E38,1))),NOT(ISERR(SEARCH("[M+H]+",E38,1))),NOT(ISERR(SEARCH("[M-H]-",E38,1)))),0,1)</f>
        <v>1</v>
      </c>
      <c r="H38" s="6" t="s">
        <v>87</v>
      </c>
      <c r="I38" s="6">
        <v>165.07898</v>
      </c>
      <c r="J38" s="6">
        <v>2.58</v>
      </c>
      <c r="K38" s="9">
        <v>149.06004999999999</v>
      </c>
      <c r="L38" s="6">
        <v>1925899</v>
      </c>
      <c r="M38" s="6">
        <f>IF(AND(ISNUMBER(J38),ISNUMBER(K38)),1,2)</f>
        <v>1</v>
      </c>
      <c r="N38" s="6" t="s">
        <v>137</v>
      </c>
      <c r="O38" s="6" t="s">
        <v>138</v>
      </c>
      <c r="P38" s="6" t="s">
        <v>139</v>
      </c>
      <c r="Q38" s="6" t="s">
        <v>140</v>
      </c>
      <c r="R38" s="6" t="s">
        <v>141</v>
      </c>
      <c r="S38" s="6" t="s">
        <v>142</v>
      </c>
      <c r="T38" s="6" t="s">
        <v>143</v>
      </c>
      <c r="U38" s="6" t="s">
        <v>144</v>
      </c>
      <c r="V38" s="10">
        <v>17295</v>
      </c>
      <c r="W38" s="6" t="s">
        <v>57</v>
      </c>
      <c r="X38" s="6" t="s">
        <v>57</v>
      </c>
      <c r="Y38" s="6" t="s">
        <v>145</v>
      </c>
      <c r="Z38" s="6" t="s">
        <v>39</v>
      </c>
      <c r="AA38" s="6" t="s">
        <v>58</v>
      </c>
      <c r="AB38" s="6" t="s">
        <v>78</v>
      </c>
      <c r="AC38" s="6" t="s">
        <v>79</v>
      </c>
      <c r="AD38" s="6" t="s">
        <v>80</v>
      </c>
      <c r="AE38" s="6" t="s">
        <v>81</v>
      </c>
      <c r="AF38" s="6" t="s">
        <v>82</v>
      </c>
      <c r="AG38" s="6" t="s">
        <v>40</v>
      </c>
      <c r="AH38" s="6" t="s">
        <v>146</v>
      </c>
      <c r="AI38" s="6" t="s">
        <v>44</v>
      </c>
      <c r="AK38" s="8"/>
    </row>
    <row r="39" spans="1:37" s="6" customFormat="1" x14ac:dyDescent="0.25">
      <c r="A39" s="6" t="s">
        <v>151</v>
      </c>
      <c r="B39" s="6" t="s">
        <v>36</v>
      </c>
      <c r="C39" s="5" t="s">
        <v>41</v>
      </c>
      <c r="D39" s="6" t="s">
        <v>136</v>
      </c>
      <c r="E39" s="6" t="s">
        <v>73</v>
      </c>
      <c r="F39" s="6">
        <f>IF(NOT(ISERR(SEARCH("13C",E39,1))),1,0)</f>
        <v>1</v>
      </c>
      <c r="G39" s="6">
        <f>IF(OR(ISBLANK(E39),NOT(ISERR(SEARCH("[(M)]+",E39,1))),NOT(ISERR(SEARCH("[M+H]+",E39,1))),NOT(ISERR(SEARCH("[M-H]-",E39,1)))),0,1)</f>
        <v>1</v>
      </c>
      <c r="H39" s="6" t="s">
        <v>87</v>
      </c>
      <c r="I39" s="6">
        <v>165.07898</v>
      </c>
      <c r="J39" s="6">
        <v>2.58</v>
      </c>
      <c r="K39" s="9">
        <v>150.06332</v>
      </c>
      <c r="L39" s="6">
        <v>177651</v>
      </c>
      <c r="M39" s="6">
        <f>IF(AND(ISNUMBER(J39),ISNUMBER(K39)),1,2)</f>
        <v>1</v>
      </c>
      <c r="N39" s="6" t="s">
        <v>137</v>
      </c>
      <c r="O39" s="6" t="s">
        <v>138</v>
      </c>
      <c r="P39" s="6" t="s">
        <v>139</v>
      </c>
      <c r="Q39" s="6" t="s">
        <v>140</v>
      </c>
      <c r="R39" s="6" t="s">
        <v>141</v>
      </c>
      <c r="S39" s="6" t="s">
        <v>142</v>
      </c>
      <c r="T39" s="6" t="s">
        <v>143</v>
      </c>
      <c r="U39" s="6" t="s">
        <v>144</v>
      </c>
      <c r="V39" s="10">
        <v>17295</v>
      </c>
      <c r="W39" s="6" t="s">
        <v>57</v>
      </c>
      <c r="X39" s="6" t="s">
        <v>57</v>
      </c>
      <c r="Y39" s="6" t="s">
        <v>145</v>
      </c>
      <c r="Z39" s="6" t="s">
        <v>39</v>
      </c>
      <c r="AA39" s="6" t="s">
        <v>58</v>
      </c>
      <c r="AB39" s="6" t="s">
        <v>78</v>
      </c>
      <c r="AC39" s="6" t="s">
        <v>79</v>
      </c>
      <c r="AD39" s="6" t="s">
        <v>80</v>
      </c>
      <c r="AE39" s="6" t="s">
        <v>81</v>
      </c>
      <c r="AF39" s="6" t="s">
        <v>82</v>
      </c>
      <c r="AG39" s="6" t="s">
        <v>40</v>
      </c>
      <c r="AH39" s="6" t="s">
        <v>146</v>
      </c>
      <c r="AI39" s="6" t="s">
        <v>44</v>
      </c>
      <c r="AK39" s="8"/>
    </row>
    <row r="40" spans="1:37" s="6" customFormat="1" x14ac:dyDescent="0.25">
      <c r="A40" s="6" t="s">
        <v>152</v>
      </c>
      <c r="B40" s="6" t="s">
        <v>36</v>
      </c>
      <c r="C40" s="5" t="s">
        <v>41</v>
      </c>
      <c r="D40" s="6" t="s">
        <v>136</v>
      </c>
      <c r="E40" s="6" t="s">
        <v>42</v>
      </c>
      <c r="F40" s="6">
        <f>IF(NOT(ISERR(SEARCH("13C",E40,1))),1,0)</f>
        <v>0</v>
      </c>
      <c r="G40" s="6">
        <f>IF(OR(ISBLANK(E40),NOT(ISERR(SEARCH("[(M)]+",E40,1))),NOT(ISERR(SEARCH("[M+H]+",E40,1))),NOT(ISERR(SEARCH("[M-H]-",E40,1)))),0,1)</f>
        <v>0</v>
      </c>
      <c r="H40" s="6" t="s">
        <v>87</v>
      </c>
      <c r="I40" s="6">
        <v>165.07898</v>
      </c>
      <c r="J40" s="6">
        <v>2.58</v>
      </c>
      <c r="K40" s="9">
        <v>166.08676</v>
      </c>
      <c r="L40" s="6">
        <v>26345984</v>
      </c>
      <c r="M40" s="6">
        <f>IF(AND(ISNUMBER(J40),ISNUMBER(K40)),1,2)</f>
        <v>1</v>
      </c>
      <c r="N40" s="6" t="s">
        <v>137</v>
      </c>
      <c r="O40" s="6" t="s">
        <v>138</v>
      </c>
      <c r="P40" s="6" t="s">
        <v>139</v>
      </c>
      <c r="Q40" s="6" t="s">
        <v>140</v>
      </c>
      <c r="R40" s="6" t="s">
        <v>141</v>
      </c>
      <c r="S40" s="6" t="s">
        <v>142</v>
      </c>
      <c r="T40" s="6" t="s">
        <v>143</v>
      </c>
      <c r="U40" s="6" t="s">
        <v>144</v>
      </c>
      <c r="V40" s="10">
        <v>17295</v>
      </c>
      <c r="W40" s="6" t="s">
        <v>57</v>
      </c>
      <c r="X40" s="6" t="s">
        <v>57</v>
      </c>
      <c r="Y40" s="6" t="s">
        <v>145</v>
      </c>
      <c r="Z40" s="6" t="s">
        <v>39</v>
      </c>
      <c r="AA40" s="6" t="s">
        <v>58</v>
      </c>
      <c r="AB40" s="6" t="s">
        <v>78</v>
      </c>
      <c r="AC40" s="6" t="s">
        <v>79</v>
      </c>
      <c r="AD40" s="6" t="s">
        <v>80</v>
      </c>
      <c r="AE40" s="6" t="s">
        <v>81</v>
      </c>
      <c r="AF40" s="6" t="s">
        <v>82</v>
      </c>
      <c r="AG40" s="6" t="s">
        <v>40</v>
      </c>
      <c r="AH40" s="6" t="s">
        <v>146</v>
      </c>
      <c r="AI40" s="6" t="s">
        <v>44</v>
      </c>
      <c r="AK40" s="8"/>
    </row>
    <row r="41" spans="1:37" s="6" customFormat="1" x14ac:dyDescent="0.25">
      <c r="A41" s="6" t="s">
        <v>153</v>
      </c>
      <c r="B41" s="6" t="s">
        <v>36</v>
      </c>
      <c r="C41" s="5" t="s">
        <v>41</v>
      </c>
      <c r="D41" s="6" t="s">
        <v>136</v>
      </c>
      <c r="E41" s="6" t="s">
        <v>52</v>
      </c>
      <c r="F41" s="6">
        <f>IF(NOT(ISERR(SEARCH("13C",E41,1))),1,0)</f>
        <v>1</v>
      </c>
      <c r="G41" s="6">
        <f>IF(OR(ISBLANK(E41),NOT(ISERR(SEARCH("[(M)]+",E41,1))),NOT(ISERR(SEARCH("[M+H]+",E41,1))),NOT(ISERR(SEARCH("[M-H]-",E41,1)))),0,1)</f>
        <v>0</v>
      </c>
      <c r="H41" s="6" t="s">
        <v>87</v>
      </c>
      <c r="I41" s="6">
        <v>165.07898</v>
      </c>
      <c r="J41" s="6">
        <v>2.58</v>
      </c>
      <c r="K41" s="9">
        <v>167.08959999999999</v>
      </c>
      <c r="L41" s="6">
        <v>2336151</v>
      </c>
      <c r="M41" s="6">
        <f>IF(AND(ISNUMBER(J41),ISNUMBER(K41)),1,2)</f>
        <v>1</v>
      </c>
      <c r="N41" s="6" t="s">
        <v>137</v>
      </c>
      <c r="O41" s="6" t="s">
        <v>138</v>
      </c>
      <c r="P41" s="6" t="s">
        <v>139</v>
      </c>
      <c r="Q41" s="6" t="s">
        <v>140</v>
      </c>
      <c r="R41" s="6" t="s">
        <v>141</v>
      </c>
      <c r="S41" s="6" t="s">
        <v>142</v>
      </c>
      <c r="T41" s="6" t="s">
        <v>143</v>
      </c>
      <c r="U41" s="6" t="s">
        <v>144</v>
      </c>
      <c r="V41" s="10">
        <v>17295</v>
      </c>
      <c r="W41" s="6" t="s">
        <v>57</v>
      </c>
      <c r="X41" s="6" t="s">
        <v>57</v>
      </c>
      <c r="Y41" s="6" t="s">
        <v>145</v>
      </c>
      <c r="Z41" s="6" t="s">
        <v>39</v>
      </c>
      <c r="AA41" s="6" t="s">
        <v>58</v>
      </c>
      <c r="AB41" s="6" t="s">
        <v>78</v>
      </c>
      <c r="AC41" s="6" t="s">
        <v>79</v>
      </c>
      <c r="AD41" s="6" t="s">
        <v>80</v>
      </c>
      <c r="AE41" s="6" t="s">
        <v>81</v>
      </c>
      <c r="AF41" s="6" t="s">
        <v>82</v>
      </c>
      <c r="AG41" s="6" t="s">
        <v>40</v>
      </c>
      <c r="AH41" s="6" t="s">
        <v>146</v>
      </c>
      <c r="AI41" s="6" t="s">
        <v>44</v>
      </c>
      <c r="AK41" s="8"/>
    </row>
    <row r="42" spans="1:37" s="6" customFormat="1" x14ac:dyDescent="0.25">
      <c r="A42" s="6" t="s">
        <v>154</v>
      </c>
      <c r="B42" s="6" t="s">
        <v>36</v>
      </c>
      <c r="C42" s="5" t="s">
        <v>41</v>
      </c>
      <c r="D42" s="6" t="s">
        <v>136</v>
      </c>
      <c r="E42" s="6" t="s">
        <v>56</v>
      </c>
      <c r="F42" s="6">
        <f>IF(NOT(ISERR(SEARCH("13C",E42,1))),1,0)</f>
        <v>1</v>
      </c>
      <c r="G42" s="6">
        <f>IF(OR(ISBLANK(E42),NOT(ISERR(SEARCH("[(M)]+",E42,1))),NOT(ISERR(SEARCH("[M+H]+",E42,1))),NOT(ISERR(SEARCH("[M-H]-",E42,1)))),0,1)</f>
        <v>0</v>
      </c>
      <c r="H42" s="6" t="s">
        <v>87</v>
      </c>
      <c r="I42" s="6">
        <v>165.07898</v>
      </c>
      <c r="J42" s="6">
        <v>2.58</v>
      </c>
      <c r="K42" s="9">
        <v>168.09182999999999</v>
      </c>
      <c r="L42" s="6">
        <v>192728</v>
      </c>
      <c r="M42" s="6">
        <f>IF(AND(ISNUMBER(J42),ISNUMBER(K42)),1,2)</f>
        <v>1</v>
      </c>
      <c r="N42" s="6" t="s">
        <v>137</v>
      </c>
      <c r="O42" s="6" t="s">
        <v>138</v>
      </c>
      <c r="P42" s="6" t="s">
        <v>139</v>
      </c>
      <c r="Q42" s="6" t="s">
        <v>140</v>
      </c>
      <c r="R42" s="6" t="s">
        <v>141</v>
      </c>
      <c r="S42" s="6" t="s">
        <v>142</v>
      </c>
      <c r="T42" s="6" t="s">
        <v>143</v>
      </c>
      <c r="U42" s="6" t="s">
        <v>144</v>
      </c>
      <c r="V42" s="10">
        <v>17295</v>
      </c>
      <c r="W42" s="6" t="s">
        <v>57</v>
      </c>
      <c r="X42" s="6" t="s">
        <v>57</v>
      </c>
      <c r="Y42" s="6" t="s">
        <v>145</v>
      </c>
      <c r="Z42" s="6" t="s">
        <v>39</v>
      </c>
      <c r="AA42" s="6" t="s">
        <v>58</v>
      </c>
      <c r="AB42" s="6" t="s">
        <v>78</v>
      </c>
      <c r="AC42" s="6" t="s">
        <v>79</v>
      </c>
      <c r="AD42" s="6" t="s">
        <v>80</v>
      </c>
      <c r="AE42" s="6" t="s">
        <v>81</v>
      </c>
      <c r="AF42" s="6" t="s">
        <v>82</v>
      </c>
      <c r="AG42" s="6" t="s">
        <v>40</v>
      </c>
      <c r="AH42" s="6" t="s">
        <v>146</v>
      </c>
      <c r="AI42" s="6" t="s">
        <v>44</v>
      </c>
      <c r="AK42" s="8"/>
    </row>
    <row r="43" spans="1:37" s="6" customFormat="1" x14ac:dyDescent="0.25">
      <c r="A43" s="6" t="s">
        <v>155</v>
      </c>
      <c r="B43" s="6" t="s">
        <v>36</v>
      </c>
      <c r="C43" s="5" t="s">
        <v>41</v>
      </c>
      <c r="D43" s="6" t="s">
        <v>136</v>
      </c>
      <c r="E43" s="6" t="s">
        <v>53</v>
      </c>
      <c r="F43" s="6">
        <f>IF(NOT(ISERR(SEARCH("13C",E43,1))),1,0)</f>
        <v>0</v>
      </c>
      <c r="G43" s="6">
        <f>IF(OR(ISBLANK(E43),NOT(ISERR(SEARCH("[(M)]+",E43,1))),NOT(ISERR(SEARCH("[M+H]+",E43,1))),NOT(ISERR(SEARCH("[M-H]-",E43,1)))),0,1)</f>
        <v>1</v>
      </c>
      <c r="H43" s="6" t="s">
        <v>87</v>
      </c>
      <c r="I43" s="6">
        <v>165.07898</v>
      </c>
      <c r="J43" s="6">
        <v>2.58</v>
      </c>
      <c r="K43" s="9">
        <v>188.0685</v>
      </c>
      <c r="L43" s="6">
        <v>2323222</v>
      </c>
      <c r="M43" s="6">
        <f>IF(AND(ISNUMBER(J43),ISNUMBER(K43)),1,2)</f>
        <v>1</v>
      </c>
      <c r="N43" s="6" t="s">
        <v>137</v>
      </c>
      <c r="O43" s="6" t="s">
        <v>138</v>
      </c>
      <c r="P43" s="6" t="s">
        <v>139</v>
      </c>
      <c r="Q43" s="6" t="s">
        <v>140</v>
      </c>
      <c r="R43" s="6" t="s">
        <v>141</v>
      </c>
      <c r="S43" s="6" t="s">
        <v>142</v>
      </c>
      <c r="T43" s="6" t="s">
        <v>143</v>
      </c>
      <c r="U43" s="6" t="s">
        <v>144</v>
      </c>
      <c r="V43" s="10">
        <v>17295</v>
      </c>
      <c r="W43" s="6" t="s">
        <v>57</v>
      </c>
      <c r="X43" s="6" t="s">
        <v>57</v>
      </c>
      <c r="Y43" s="6" t="s">
        <v>145</v>
      </c>
      <c r="Z43" s="6" t="s">
        <v>39</v>
      </c>
      <c r="AA43" s="6" t="s">
        <v>58</v>
      </c>
      <c r="AB43" s="6" t="s">
        <v>78</v>
      </c>
      <c r="AC43" s="6" t="s">
        <v>79</v>
      </c>
      <c r="AD43" s="6" t="s">
        <v>80</v>
      </c>
      <c r="AE43" s="6" t="s">
        <v>81</v>
      </c>
      <c r="AF43" s="6" t="s">
        <v>82</v>
      </c>
      <c r="AG43" s="6" t="s">
        <v>40</v>
      </c>
      <c r="AH43" s="6" t="s">
        <v>146</v>
      </c>
      <c r="AI43" s="6" t="s">
        <v>44</v>
      </c>
      <c r="AK43" s="8"/>
    </row>
    <row r="44" spans="1:37" s="6" customFormat="1" x14ac:dyDescent="0.25">
      <c r="A44" s="6" t="s">
        <v>156</v>
      </c>
      <c r="B44" s="6" t="s">
        <v>36</v>
      </c>
      <c r="C44" s="5" t="s">
        <v>41</v>
      </c>
      <c r="D44" s="6" t="s">
        <v>136</v>
      </c>
      <c r="E44" s="6" t="s">
        <v>54</v>
      </c>
      <c r="F44" s="6">
        <f>IF(NOT(ISERR(SEARCH("13C",E44,1))),1,0)</f>
        <v>1</v>
      </c>
      <c r="G44" s="6">
        <f>IF(OR(ISBLANK(E44),NOT(ISERR(SEARCH("[(M)]+",E44,1))),NOT(ISERR(SEARCH("[M+H]+",E44,1))),NOT(ISERR(SEARCH("[M-H]-",E44,1)))),0,1)</f>
        <v>1</v>
      </c>
      <c r="H44" s="6" t="s">
        <v>87</v>
      </c>
      <c r="I44" s="6">
        <v>165.07898</v>
      </c>
      <c r="J44" s="6">
        <v>2.58</v>
      </c>
      <c r="K44" s="9">
        <v>189.07158000000001</v>
      </c>
      <c r="L44" s="6">
        <v>208277</v>
      </c>
      <c r="M44" s="6">
        <f>IF(AND(ISNUMBER(J44),ISNUMBER(K44)),1,2)</f>
        <v>1</v>
      </c>
      <c r="N44" s="6" t="s">
        <v>137</v>
      </c>
      <c r="O44" s="6" t="s">
        <v>138</v>
      </c>
      <c r="P44" s="6" t="s">
        <v>139</v>
      </c>
      <c r="Q44" s="6" t="s">
        <v>140</v>
      </c>
      <c r="R44" s="6" t="s">
        <v>141</v>
      </c>
      <c r="S44" s="6" t="s">
        <v>142</v>
      </c>
      <c r="T44" s="6" t="s">
        <v>143</v>
      </c>
      <c r="U44" s="6" t="s">
        <v>144</v>
      </c>
      <c r="V44" s="10">
        <v>17295</v>
      </c>
      <c r="W44" s="6" t="s">
        <v>57</v>
      </c>
      <c r="X44" s="6" t="s">
        <v>57</v>
      </c>
      <c r="Y44" s="6" t="s">
        <v>145</v>
      </c>
      <c r="Z44" s="6" t="s">
        <v>39</v>
      </c>
      <c r="AA44" s="6" t="s">
        <v>58</v>
      </c>
      <c r="AB44" s="6" t="s">
        <v>78</v>
      </c>
      <c r="AC44" s="6" t="s">
        <v>79</v>
      </c>
      <c r="AD44" s="6" t="s">
        <v>80</v>
      </c>
      <c r="AE44" s="6" t="s">
        <v>81</v>
      </c>
      <c r="AF44" s="6" t="s">
        <v>82</v>
      </c>
      <c r="AG44" s="6" t="s">
        <v>40</v>
      </c>
      <c r="AH44" s="6" t="s">
        <v>146</v>
      </c>
      <c r="AI44" s="6" t="s">
        <v>44</v>
      </c>
      <c r="AK44" s="8"/>
    </row>
    <row r="45" spans="1:37" s="6" customFormat="1" x14ac:dyDescent="0.25">
      <c r="A45" s="6" t="s">
        <v>157</v>
      </c>
      <c r="B45" s="6" t="s">
        <v>36</v>
      </c>
      <c r="C45" s="5" t="s">
        <v>41</v>
      </c>
      <c r="D45" s="6" t="s">
        <v>136</v>
      </c>
      <c r="E45" s="6" t="s">
        <v>75</v>
      </c>
      <c r="F45" s="6">
        <f>IF(NOT(ISERR(SEARCH("13C",E45,1))),1,0)</f>
        <v>1</v>
      </c>
      <c r="G45" s="6">
        <f>IF(OR(ISBLANK(E45),NOT(ISERR(SEARCH("[(M)]+",E45,1))),NOT(ISERR(SEARCH("[M+H]+",E45,1))),NOT(ISERR(SEARCH("[M-H]-",E45,1)))),0,1)</f>
        <v>1</v>
      </c>
      <c r="H45" s="6" t="s">
        <v>87</v>
      </c>
      <c r="I45" s="6">
        <v>165.07898</v>
      </c>
      <c r="J45" s="6">
        <v>2.58</v>
      </c>
      <c r="K45" s="9">
        <v>190.07194999999999</v>
      </c>
      <c r="L45" s="6">
        <v>30182</v>
      </c>
      <c r="M45" s="6">
        <f>IF(AND(ISNUMBER(J45),ISNUMBER(K45)),1,2)</f>
        <v>1</v>
      </c>
      <c r="N45" s="6" t="s">
        <v>137</v>
      </c>
      <c r="O45" s="6" t="s">
        <v>138</v>
      </c>
      <c r="P45" s="6" t="s">
        <v>139</v>
      </c>
      <c r="Q45" s="6" t="s">
        <v>140</v>
      </c>
      <c r="R45" s="6" t="s">
        <v>141</v>
      </c>
      <c r="S45" s="6" t="s">
        <v>142</v>
      </c>
      <c r="T45" s="6" t="s">
        <v>143</v>
      </c>
      <c r="U45" s="6" t="s">
        <v>144</v>
      </c>
      <c r="V45" s="10">
        <v>17295</v>
      </c>
      <c r="W45" s="6" t="s">
        <v>57</v>
      </c>
      <c r="X45" s="6" t="s">
        <v>57</v>
      </c>
      <c r="Y45" s="6" t="s">
        <v>145</v>
      </c>
      <c r="Z45" s="6" t="s">
        <v>39</v>
      </c>
      <c r="AA45" s="6" t="s">
        <v>58</v>
      </c>
      <c r="AB45" s="6" t="s">
        <v>78</v>
      </c>
      <c r="AC45" s="6" t="s">
        <v>79</v>
      </c>
      <c r="AD45" s="6" t="s">
        <v>80</v>
      </c>
      <c r="AE45" s="6" t="s">
        <v>81</v>
      </c>
      <c r="AF45" s="6" t="s">
        <v>82</v>
      </c>
      <c r="AG45" s="6" t="s">
        <v>40</v>
      </c>
      <c r="AH45" s="6" t="s">
        <v>146</v>
      </c>
      <c r="AI45" s="6" t="s">
        <v>44</v>
      </c>
      <c r="AK45" s="8"/>
    </row>
    <row r="46" spans="1:37" s="6" customFormat="1" x14ac:dyDescent="0.25">
      <c r="A46" s="6" t="s">
        <v>158</v>
      </c>
      <c r="B46" s="6" t="s">
        <v>36</v>
      </c>
      <c r="C46" s="5" t="s">
        <v>37</v>
      </c>
      <c r="D46" s="6" t="s">
        <v>136</v>
      </c>
      <c r="E46" s="6" t="s">
        <v>43</v>
      </c>
      <c r="F46" s="6">
        <f>IF(NOT(ISERR(SEARCH("13C",E46,1))),1,0)</f>
        <v>0</v>
      </c>
      <c r="G46" s="6">
        <f>IF(OR(ISBLANK(E46),NOT(ISERR(SEARCH("[(M)]+",E46,1))),NOT(ISERR(SEARCH("[M+H]+",E46,1))),NOT(ISERR(SEARCH("[M-H]-",E46,1)))),0,1)</f>
        <v>1</v>
      </c>
      <c r="H46" s="6" t="s">
        <v>87</v>
      </c>
      <c r="I46" s="6">
        <v>165.07898</v>
      </c>
      <c r="J46" s="6">
        <v>2.58</v>
      </c>
      <c r="K46" s="9">
        <v>146.06085999999999</v>
      </c>
      <c r="L46" s="6">
        <v>181671</v>
      </c>
      <c r="M46" s="6">
        <f>IF(AND(ISNUMBER(J46),ISNUMBER(K46)),1,2)</f>
        <v>1</v>
      </c>
      <c r="N46" s="6" t="s">
        <v>137</v>
      </c>
      <c r="O46" s="6" t="s">
        <v>138</v>
      </c>
      <c r="P46" s="6" t="s">
        <v>139</v>
      </c>
      <c r="Q46" s="6" t="s">
        <v>140</v>
      </c>
      <c r="R46" s="6" t="s">
        <v>141</v>
      </c>
      <c r="S46" s="6" t="s">
        <v>142</v>
      </c>
      <c r="T46" s="6" t="s">
        <v>143</v>
      </c>
      <c r="U46" s="6" t="s">
        <v>144</v>
      </c>
      <c r="V46" s="10">
        <v>17295</v>
      </c>
      <c r="W46" s="6" t="s">
        <v>57</v>
      </c>
      <c r="X46" s="6" t="s">
        <v>57</v>
      </c>
      <c r="Y46" s="6" t="s">
        <v>145</v>
      </c>
      <c r="Z46" s="6" t="s">
        <v>39</v>
      </c>
      <c r="AA46" s="6" t="s">
        <v>58</v>
      </c>
      <c r="AB46" s="6" t="s">
        <v>78</v>
      </c>
      <c r="AC46" s="6" t="s">
        <v>79</v>
      </c>
      <c r="AD46" s="6" t="s">
        <v>80</v>
      </c>
      <c r="AE46" s="6" t="s">
        <v>81</v>
      </c>
      <c r="AF46" s="6" t="s">
        <v>82</v>
      </c>
      <c r="AG46" s="6" t="s">
        <v>40</v>
      </c>
      <c r="AH46" s="6" t="s">
        <v>146</v>
      </c>
      <c r="AI46" s="6" t="s">
        <v>44</v>
      </c>
      <c r="AK46" s="8"/>
    </row>
    <row r="47" spans="1:37" s="6" customFormat="1" x14ac:dyDescent="0.25">
      <c r="A47" s="6" t="s">
        <v>159</v>
      </c>
      <c r="B47" s="6" t="s">
        <v>36</v>
      </c>
      <c r="C47" s="5" t="s">
        <v>37</v>
      </c>
      <c r="D47" s="6" t="s">
        <v>136</v>
      </c>
      <c r="E47" s="6" t="s">
        <v>38</v>
      </c>
      <c r="F47" s="6">
        <f>IF(NOT(ISERR(SEARCH("13C",E47,1))),1,0)</f>
        <v>0</v>
      </c>
      <c r="G47" s="6">
        <f>IF(OR(ISBLANK(E47),NOT(ISERR(SEARCH("[(M)]+",E47,1))),NOT(ISERR(SEARCH("[M+H]+",E47,1))),NOT(ISERR(SEARCH("[M-H]-",E47,1)))),0,1)</f>
        <v>0</v>
      </c>
      <c r="H47" s="6" t="s">
        <v>87</v>
      </c>
      <c r="I47" s="6">
        <v>165.07898</v>
      </c>
      <c r="J47" s="6">
        <v>2.58</v>
      </c>
      <c r="K47" s="9">
        <v>164.07205999999999</v>
      </c>
      <c r="L47" s="6">
        <v>118090464</v>
      </c>
      <c r="M47" s="6">
        <f>IF(AND(ISNUMBER(J47),ISNUMBER(K47)),1,2)</f>
        <v>1</v>
      </c>
      <c r="N47" s="6" t="s">
        <v>137</v>
      </c>
      <c r="O47" s="6" t="s">
        <v>138</v>
      </c>
      <c r="P47" s="6" t="s">
        <v>139</v>
      </c>
      <c r="Q47" s="6" t="s">
        <v>140</v>
      </c>
      <c r="R47" s="6" t="s">
        <v>141</v>
      </c>
      <c r="S47" s="6" t="s">
        <v>142</v>
      </c>
      <c r="T47" s="6" t="s">
        <v>143</v>
      </c>
      <c r="U47" s="6" t="s">
        <v>144</v>
      </c>
      <c r="V47" s="10">
        <v>17295</v>
      </c>
      <c r="W47" s="6" t="s">
        <v>57</v>
      </c>
      <c r="X47" s="6" t="s">
        <v>57</v>
      </c>
      <c r="Y47" s="6" t="s">
        <v>145</v>
      </c>
      <c r="Z47" s="6" t="s">
        <v>39</v>
      </c>
      <c r="AA47" s="6" t="s">
        <v>58</v>
      </c>
      <c r="AB47" s="6" t="s">
        <v>78</v>
      </c>
      <c r="AC47" s="6" t="s">
        <v>79</v>
      </c>
      <c r="AD47" s="6" t="s">
        <v>80</v>
      </c>
      <c r="AE47" s="6" t="s">
        <v>81</v>
      </c>
      <c r="AF47" s="6" t="s">
        <v>82</v>
      </c>
      <c r="AG47" s="6" t="s">
        <v>40</v>
      </c>
      <c r="AH47" s="6" t="s">
        <v>146</v>
      </c>
      <c r="AI47" s="6" t="s">
        <v>44</v>
      </c>
      <c r="AK47" s="8"/>
    </row>
    <row r="48" spans="1:37" s="6" customFormat="1" x14ac:dyDescent="0.25">
      <c r="A48" s="6" t="s">
        <v>160</v>
      </c>
      <c r="B48" s="6" t="s">
        <v>36</v>
      </c>
      <c r="C48" s="5" t="s">
        <v>37</v>
      </c>
      <c r="D48" s="6" t="s">
        <v>136</v>
      </c>
      <c r="E48" s="6" t="s">
        <v>45</v>
      </c>
      <c r="F48" s="6">
        <f>IF(NOT(ISERR(SEARCH("13C",E48,1))),1,0)</f>
        <v>1</v>
      </c>
      <c r="G48" s="6">
        <f>IF(OR(ISBLANK(E48),NOT(ISERR(SEARCH("[(M)]+",E48,1))),NOT(ISERR(SEARCH("[M+H]+",E48,1))),NOT(ISERR(SEARCH("[M-H]-",E48,1)))),0,1)</f>
        <v>0</v>
      </c>
      <c r="H48" s="6" t="s">
        <v>87</v>
      </c>
      <c r="I48" s="6">
        <v>165.07898</v>
      </c>
      <c r="J48" s="6">
        <v>2.58</v>
      </c>
      <c r="K48" s="9">
        <v>165.07485</v>
      </c>
      <c r="L48" s="6">
        <v>14416367</v>
      </c>
      <c r="M48" s="6">
        <f>IF(AND(ISNUMBER(J48),ISNUMBER(K48)),1,2)</f>
        <v>1</v>
      </c>
      <c r="N48" s="6" t="s">
        <v>137</v>
      </c>
      <c r="O48" s="6" t="s">
        <v>138</v>
      </c>
      <c r="P48" s="6" t="s">
        <v>139</v>
      </c>
      <c r="Q48" s="6" t="s">
        <v>140</v>
      </c>
      <c r="R48" s="6" t="s">
        <v>141</v>
      </c>
      <c r="S48" s="6" t="s">
        <v>142</v>
      </c>
      <c r="T48" s="6" t="s">
        <v>143</v>
      </c>
      <c r="U48" s="6" t="s">
        <v>144</v>
      </c>
      <c r="V48" s="10">
        <v>17295</v>
      </c>
      <c r="W48" s="6" t="s">
        <v>57</v>
      </c>
      <c r="X48" s="6" t="s">
        <v>57</v>
      </c>
      <c r="Y48" s="6" t="s">
        <v>145</v>
      </c>
      <c r="Z48" s="6" t="s">
        <v>39</v>
      </c>
      <c r="AA48" s="6" t="s">
        <v>58</v>
      </c>
      <c r="AB48" s="6" t="s">
        <v>78</v>
      </c>
      <c r="AC48" s="6" t="s">
        <v>79</v>
      </c>
      <c r="AD48" s="6" t="s">
        <v>80</v>
      </c>
      <c r="AE48" s="6" t="s">
        <v>81</v>
      </c>
      <c r="AF48" s="6" t="s">
        <v>82</v>
      </c>
      <c r="AG48" s="6" t="s">
        <v>40</v>
      </c>
      <c r="AH48" s="6" t="s">
        <v>146</v>
      </c>
      <c r="AI48" s="6" t="s">
        <v>44</v>
      </c>
      <c r="AK48" s="8"/>
    </row>
    <row r="49" spans="1:37" s="6" customFormat="1" x14ac:dyDescent="0.25">
      <c r="A49" s="6" t="s">
        <v>161</v>
      </c>
      <c r="B49" s="6" t="s">
        <v>36</v>
      </c>
      <c r="C49" s="5" t="s">
        <v>37</v>
      </c>
      <c r="D49" s="6" t="s">
        <v>136</v>
      </c>
      <c r="E49" s="6" t="s">
        <v>46</v>
      </c>
      <c r="F49" s="6">
        <f>IF(NOT(ISERR(SEARCH("13C",E49,1))),1,0)</f>
        <v>1</v>
      </c>
      <c r="G49" s="6">
        <f>IF(OR(ISBLANK(E49),NOT(ISERR(SEARCH("[(M)]+",E49,1))),NOT(ISERR(SEARCH("[M+H]+",E49,1))),NOT(ISERR(SEARCH("[M-H]-",E49,1)))),0,1)</f>
        <v>0</v>
      </c>
      <c r="H49" s="6" t="s">
        <v>87</v>
      </c>
      <c r="I49" s="6">
        <v>165.07898</v>
      </c>
      <c r="J49" s="6">
        <v>2.58</v>
      </c>
      <c r="K49" s="9">
        <v>166.07686000000001</v>
      </c>
      <c r="L49" s="6">
        <v>971677</v>
      </c>
      <c r="M49" s="6">
        <f>IF(AND(ISNUMBER(J49),ISNUMBER(K49)),1,2)</f>
        <v>1</v>
      </c>
      <c r="N49" s="6" t="s">
        <v>137</v>
      </c>
      <c r="O49" s="6" t="s">
        <v>138</v>
      </c>
      <c r="P49" s="6" t="s">
        <v>139</v>
      </c>
      <c r="Q49" s="6" t="s">
        <v>140</v>
      </c>
      <c r="R49" s="6" t="s">
        <v>141</v>
      </c>
      <c r="S49" s="6" t="s">
        <v>142</v>
      </c>
      <c r="T49" s="6" t="s">
        <v>143</v>
      </c>
      <c r="U49" s="6" t="s">
        <v>144</v>
      </c>
      <c r="V49" s="10">
        <v>17295</v>
      </c>
      <c r="W49" s="6" t="s">
        <v>57</v>
      </c>
      <c r="X49" s="6" t="s">
        <v>57</v>
      </c>
      <c r="Y49" s="6" t="s">
        <v>145</v>
      </c>
      <c r="Z49" s="6" t="s">
        <v>39</v>
      </c>
      <c r="AA49" s="6" t="s">
        <v>58</v>
      </c>
      <c r="AB49" s="6" t="s">
        <v>78</v>
      </c>
      <c r="AC49" s="6" t="s">
        <v>79</v>
      </c>
      <c r="AD49" s="6" t="s">
        <v>80</v>
      </c>
      <c r="AE49" s="6" t="s">
        <v>81</v>
      </c>
      <c r="AF49" s="6" t="s">
        <v>82</v>
      </c>
      <c r="AG49" s="6" t="s">
        <v>40</v>
      </c>
      <c r="AH49" s="6" t="s">
        <v>146</v>
      </c>
      <c r="AI49" s="6" t="s">
        <v>44</v>
      </c>
      <c r="AK49" s="8"/>
    </row>
    <row r="50" spans="1:37" s="6" customFormat="1" x14ac:dyDescent="0.25">
      <c r="A50" s="6" t="s">
        <v>162</v>
      </c>
      <c r="B50" s="6" t="s">
        <v>36</v>
      </c>
      <c r="C50" s="5" t="s">
        <v>37</v>
      </c>
      <c r="D50" s="6" t="s">
        <v>136</v>
      </c>
      <c r="E50" s="6" t="s">
        <v>47</v>
      </c>
      <c r="F50" s="6">
        <f>IF(NOT(ISERR(SEARCH("13C",E50,1))),1,0)</f>
        <v>1</v>
      </c>
      <c r="G50" s="6">
        <f>IF(OR(ISBLANK(E50),NOT(ISERR(SEARCH("[(M)]+",E50,1))),NOT(ISERR(SEARCH("[M+H]+",E50,1))),NOT(ISERR(SEARCH("[M-H]-",E50,1)))),0,1)</f>
        <v>0</v>
      </c>
      <c r="H50" s="6" t="s">
        <v>87</v>
      </c>
      <c r="I50" s="6">
        <v>165.07898</v>
      </c>
      <c r="J50" s="6">
        <v>2.58</v>
      </c>
      <c r="K50" s="9">
        <v>167.07865000000001</v>
      </c>
      <c r="L50" s="6">
        <v>51642</v>
      </c>
      <c r="M50" s="6">
        <f>IF(AND(ISNUMBER(J50),ISNUMBER(K50)),1,2)</f>
        <v>1</v>
      </c>
      <c r="N50" s="6" t="s">
        <v>137</v>
      </c>
      <c r="O50" s="6" t="s">
        <v>138</v>
      </c>
      <c r="P50" s="6" t="s">
        <v>139</v>
      </c>
      <c r="Q50" s="6" t="s">
        <v>140</v>
      </c>
      <c r="R50" s="6" t="s">
        <v>141</v>
      </c>
      <c r="S50" s="6" t="s">
        <v>142</v>
      </c>
      <c r="T50" s="6" t="s">
        <v>143</v>
      </c>
      <c r="U50" s="6" t="s">
        <v>144</v>
      </c>
      <c r="V50" s="10">
        <v>17295</v>
      </c>
      <c r="W50" s="6" t="s">
        <v>57</v>
      </c>
      <c r="X50" s="6" t="s">
        <v>57</v>
      </c>
      <c r="Y50" s="6" t="s">
        <v>145</v>
      </c>
      <c r="Z50" s="6" t="s">
        <v>39</v>
      </c>
      <c r="AA50" s="6" t="s">
        <v>58</v>
      </c>
      <c r="AB50" s="6" t="s">
        <v>78</v>
      </c>
      <c r="AC50" s="6" t="s">
        <v>79</v>
      </c>
      <c r="AD50" s="6" t="s">
        <v>80</v>
      </c>
      <c r="AE50" s="6" t="s">
        <v>81</v>
      </c>
      <c r="AF50" s="6" t="s">
        <v>82</v>
      </c>
      <c r="AG50" s="6" t="s">
        <v>40</v>
      </c>
      <c r="AH50" s="6" t="s">
        <v>146</v>
      </c>
      <c r="AI50" s="6" t="s">
        <v>44</v>
      </c>
      <c r="AK50" s="8"/>
    </row>
    <row r="51" spans="1:37" s="6" customFormat="1" x14ac:dyDescent="0.25">
      <c r="A51" s="6" t="s">
        <v>163</v>
      </c>
      <c r="B51" s="6" t="s">
        <v>36</v>
      </c>
      <c r="C51" s="5" t="s">
        <v>37</v>
      </c>
      <c r="D51" s="6" t="s">
        <v>136</v>
      </c>
      <c r="E51" s="6" t="s">
        <v>48</v>
      </c>
      <c r="F51" s="6">
        <f>IF(NOT(ISERR(SEARCH("13C",E51,1))),1,0)</f>
        <v>0</v>
      </c>
      <c r="G51" s="6">
        <f>IF(OR(ISBLANK(E51),NOT(ISERR(SEARCH("[(M)]+",E51,1))),NOT(ISERR(SEARCH("[M+H]+",E51,1))),NOT(ISERR(SEARCH("[M-H]-",E51,1)))),0,1)</f>
        <v>1</v>
      </c>
      <c r="H51" s="6" t="s">
        <v>87</v>
      </c>
      <c r="I51" s="6">
        <v>165.07898</v>
      </c>
      <c r="J51" s="6">
        <v>2.58</v>
      </c>
      <c r="K51" s="9">
        <v>222.02822</v>
      </c>
      <c r="L51" s="6">
        <v>752122</v>
      </c>
      <c r="M51" s="6">
        <f>IF(AND(ISNUMBER(J51),ISNUMBER(K51)),1,2)</f>
        <v>1</v>
      </c>
      <c r="N51" s="6" t="s">
        <v>137</v>
      </c>
      <c r="O51" s="6" t="s">
        <v>138</v>
      </c>
      <c r="P51" s="6" t="s">
        <v>139</v>
      </c>
      <c r="Q51" s="6" t="s">
        <v>140</v>
      </c>
      <c r="R51" s="6" t="s">
        <v>141</v>
      </c>
      <c r="S51" s="6" t="s">
        <v>142</v>
      </c>
      <c r="T51" s="6" t="s">
        <v>143</v>
      </c>
      <c r="U51" s="6" t="s">
        <v>144</v>
      </c>
      <c r="V51" s="10">
        <v>17295</v>
      </c>
      <c r="W51" s="6" t="s">
        <v>57</v>
      </c>
      <c r="X51" s="6" t="s">
        <v>57</v>
      </c>
      <c r="Y51" s="6" t="s">
        <v>145</v>
      </c>
      <c r="Z51" s="6" t="s">
        <v>39</v>
      </c>
      <c r="AA51" s="6" t="s">
        <v>58</v>
      </c>
      <c r="AB51" s="6" t="s">
        <v>78</v>
      </c>
      <c r="AC51" s="6" t="s">
        <v>79</v>
      </c>
      <c r="AD51" s="6" t="s">
        <v>80</v>
      </c>
      <c r="AE51" s="6" t="s">
        <v>81</v>
      </c>
      <c r="AF51" s="6" t="s">
        <v>82</v>
      </c>
      <c r="AG51" s="6" t="s">
        <v>40</v>
      </c>
      <c r="AH51" s="6" t="s">
        <v>146</v>
      </c>
      <c r="AI51" s="6" t="s">
        <v>44</v>
      </c>
      <c r="AK51" s="8"/>
    </row>
    <row r="52" spans="1:37" s="6" customFormat="1" x14ac:dyDescent="0.25">
      <c r="A52" s="6" t="s">
        <v>164</v>
      </c>
      <c r="B52" s="6" t="s">
        <v>36</v>
      </c>
      <c r="C52" s="5" t="s">
        <v>37</v>
      </c>
      <c r="D52" s="6" t="s">
        <v>136</v>
      </c>
      <c r="E52" s="6" t="s">
        <v>50</v>
      </c>
      <c r="F52" s="6">
        <f>IF(NOT(ISERR(SEARCH("13C",E52,1))),1,0)</f>
        <v>0</v>
      </c>
      <c r="G52" s="6">
        <f>IF(OR(ISBLANK(E52),NOT(ISERR(SEARCH("[(M)]+",E52,1))),NOT(ISERR(SEARCH("[M+H]+",E52,1))),NOT(ISERR(SEARCH("[M-H]-",E52,1)))),0,1)</f>
        <v>1</v>
      </c>
      <c r="H52" s="6" t="s">
        <v>87</v>
      </c>
      <c r="I52" s="6">
        <v>165.07898</v>
      </c>
      <c r="J52" s="6">
        <v>2.58</v>
      </c>
      <c r="K52" s="9">
        <v>246.07327000000001</v>
      </c>
      <c r="L52" s="6">
        <v>661280</v>
      </c>
      <c r="M52" s="6">
        <f>IF(AND(ISNUMBER(J52),ISNUMBER(K52)),1,2)</f>
        <v>1</v>
      </c>
      <c r="N52" s="6" t="s">
        <v>137</v>
      </c>
      <c r="O52" s="6" t="s">
        <v>138</v>
      </c>
      <c r="P52" s="6" t="s">
        <v>139</v>
      </c>
      <c r="Q52" s="6" t="s">
        <v>140</v>
      </c>
      <c r="R52" s="6" t="s">
        <v>141</v>
      </c>
      <c r="S52" s="6" t="s">
        <v>142</v>
      </c>
      <c r="T52" s="6" t="s">
        <v>143</v>
      </c>
      <c r="U52" s="6" t="s">
        <v>144</v>
      </c>
      <c r="V52" s="10">
        <v>17295</v>
      </c>
      <c r="W52" s="6" t="s">
        <v>57</v>
      </c>
      <c r="X52" s="6" t="s">
        <v>57</v>
      </c>
      <c r="Y52" s="6" t="s">
        <v>145</v>
      </c>
      <c r="Z52" s="6" t="s">
        <v>39</v>
      </c>
      <c r="AA52" s="6" t="s">
        <v>58</v>
      </c>
      <c r="AB52" s="6" t="s">
        <v>78</v>
      </c>
      <c r="AC52" s="6" t="s">
        <v>79</v>
      </c>
      <c r="AD52" s="6" t="s">
        <v>80</v>
      </c>
      <c r="AE52" s="6" t="s">
        <v>81</v>
      </c>
      <c r="AF52" s="6" t="s">
        <v>82</v>
      </c>
      <c r="AG52" s="6" t="s">
        <v>40</v>
      </c>
      <c r="AH52" s="6" t="s">
        <v>146</v>
      </c>
      <c r="AI52" s="6" t="s">
        <v>44</v>
      </c>
      <c r="AK52" s="8"/>
    </row>
    <row r="53" spans="1:37" s="6" customFormat="1" x14ac:dyDescent="0.25">
      <c r="A53" s="6" t="s">
        <v>165</v>
      </c>
      <c r="B53" s="6" t="s">
        <v>36</v>
      </c>
      <c r="C53" s="5" t="s">
        <v>37</v>
      </c>
      <c r="D53" s="6" t="s">
        <v>136</v>
      </c>
      <c r="E53" s="6" t="s">
        <v>71</v>
      </c>
      <c r="F53" s="6">
        <f>IF(NOT(ISERR(SEARCH("13C",E53,1))),1,0)</f>
        <v>1</v>
      </c>
      <c r="G53" s="6">
        <f>IF(OR(ISBLANK(E53),NOT(ISERR(SEARCH("[(M)]+",E53,1))),NOT(ISERR(SEARCH("[M+H]+",E53,1))),NOT(ISERR(SEARCH("[M-H]-",E53,1)))),0,1)</f>
        <v>1</v>
      </c>
      <c r="H53" s="6" t="s">
        <v>87</v>
      </c>
      <c r="I53" s="6">
        <v>165.07898</v>
      </c>
      <c r="J53" s="6">
        <v>2.58</v>
      </c>
      <c r="K53" s="9">
        <v>247.07757000000001</v>
      </c>
      <c r="L53" s="6">
        <v>77859</v>
      </c>
      <c r="M53" s="6">
        <f>IF(AND(ISNUMBER(J53),ISNUMBER(K53)),1,2)</f>
        <v>1</v>
      </c>
      <c r="N53" s="6" t="s">
        <v>137</v>
      </c>
      <c r="O53" s="6" t="s">
        <v>138</v>
      </c>
      <c r="P53" s="6" t="s">
        <v>139</v>
      </c>
      <c r="Q53" s="6" t="s">
        <v>140</v>
      </c>
      <c r="R53" s="6" t="s">
        <v>141</v>
      </c>
      <c r="S53" s="6" t="s">
        <v>142</v>
      </c>
      <c r="T53" s="6" t="s">
        <v>143</v>
      </c>
      <c r="U53" s="6" t="s">
        <v>144</v>
      </c>
      <c r="V53" s="10">
        <v>17295</v>
      </c>
      <c r="W53" s="6" t="s">
        <v>57</v>
      </c>
      <c r="X53" s="6" t="s">
        <v>57</v>
      </c>
      <c r="Y53" s="6" t="s">
        <v>145</v>
      </c>
      <c r="Z53" s="6" t="s">
        <v>39</v>
      </c>
      <c r="AA53" s="6" t="s">
        <v>58</v>
      </c>
      <c r="AB53" s="6" t="s">
        <v>78</v>
      </c>
      <c r="AC53" s="6" t="s">
        <v>79</v>
      </c>
      <c r="AD53" s="6" t="s">
        <v>80</v>
      </c>
      <c r="AE53" s="6" t="s">
        <v>81</v>
      </c>
      <c r="AF53" s="6" t="s">
        <v>82</v>
      </c>
      <c r="AG53" s="6" t="s">
        <v>40</v>
      </c>
      <c r="AH53" s="6" t="s">
        <v>146</v>
      </c>
      <c r="AI53" s="6" t="s">
        <v>44</v>
      </c>
      <c r="AK53" s="8"/>
    </row>
    <row r="54" spans="1:37" x14ac:dyDescent="0.25">
      <c r="A54" s="1"/>
    </row>
    <row r="55" spans="1:37" x14ac:dyDescent="0.25">
      <c r="A55" s="1"/>
    </row>
    <row r="56" spans="1:37" x14ac:dyDescent="0.25">
      <c r="A56" s="1"/>
    </row>
    <row r="57" spans="1:37" x14ac:dyDescent="0.25">
      <c r="A57" s="1"/>
    </row>
    <row r="58" spans="1:37" x14ac:dyDescent="0.25">
      <c r="A58" s="1"/>
    </row>
    <row r="59" spans="1:37" x14ac:dyDescent="0.25">
      <c r="A59" s="1"/>
    </row>
    <row r="60" spans="1:37" x14ac:dyDescent="0.25">
      <c r="A60" s="1"/>
    </row>
    <row r="61" spans="1:37" x14ac:dyDescent="0.25">
      <c r="A61" s="1"/>
    </row>
    <row r="62" spans="1:37" x14ac:dyDescent="0.25">
      <c r="A62" s="1"/>
    </row>
    <row r="63" spans="1:37" x14ac:dyDescent="0.25">
      <c r="A63" s="1"/>
    </row>
    <row r="64" spans="1:37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</sheetData>
  <autoFilter ref="A1:AK53" xr:uid="{00000000-0001-0000-0000-000000000000}">
    <sortState xmlns:xlrd2="http://schemas.microsoft.com/office/spreadsheetml/2017/richdata2" ref="A2:AK53">
      <sortCondition sortBy="cellColor" ref="D1:D53" dxfId="3"/>
    </sortState>
  </autoFilter>
  <phoneticPr fontId="0" type="noConversion"/>
  <pageMargins left="0.78740157499999996" right="0.78740157499999996" top="0.984251969" bottom="0.984251969" header="0.4921259845" footer="0.4921259845"/>
  <pageSetup paperSize="9" scale="17" fitToHeight="7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FA0C8821E01A41963F5251DC01D9D8" ma:contentTypeVersion="" ma:contentTypeDescription="Crée un document." ma:contentTypeScope="" ma:versionID="5293a715fe6a70b9a889c2bf1774ab6e">
  <xsd:schema xmlns:xsd="http://www.w3.org/2001/XMLSchema" xmlns:xs="http://www.w3.org/2001/XMLSchema" xmlns:p="http://schemas.microsoft.com/office/2006/metadata/properties" xmlns:ns2="c17441b0-1921-4f8b-9ca8-a69722f51160" targetNamespace="http://schemas.microsoft.com/office/2006/metadata/properties" ma:root="true" ma:fieldsID="a15d1103c77b3d576ede8d3215bad587" ns2:_="">
    <xsd:import namespace="c17441b0-1921-4f8b-9ca8-a69722f5116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441b0-1921-4f8b-9ca8-a69722f511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F47B45-2E9A-4FF5-94E9-C7002BBD5463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c17441b0-1921-4f8b-9ca8-a69722f51160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5C977E2-925F-42FB-BD52-C389F8C503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66F63E-ED40-4C56-9643-762F100E3D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7441b0-1921-4f8b-9ca8-a69722f511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QTOF</vt:lpstr>
      <vt:lpstr>QTOF!Zone_d_impression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Jean-Marie Savignac</cp:lastModifiedBy>
  <cp:revision/>
  <dcterms:created xsi:type="dcterms:W3CDTF">1996-10-21T11:03:58Z</dcterms:created>
  <dcterms:modified xsi:type="dcterms:W3CDTF">2026-01-23T14:37:04Z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0x01010033FA0C8821E01A41963F5251DC01D9D8</vt:lpwstr>
  </property>
  <property fmtid="{D5CDD505-2E9C-101B-9397-08002B2CF9AE}" pid="3" name="Type de document">
    <vt:lpwstr/>
  </property>
</Properties>
</file>